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88683cd51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1f23f592f334990"/>
    <x:sheet xmlns:r="http://schemas.openxmlformats.org/officeDocument/2006/relationships" name="Scenarios" sheetId="2" r:id="R70ebdf7a388342dc"/>
    <x:sheet xmlns:r="http://schemas.openxmlformats.org/officeDocument/2006/relationships" name="Demo Poststrat" sheetId="3" r:id="Ra18b51dba3844daa"/>
    <x:sheet xmlns:r="http://schemas.openxmlformats.org/officeDocument/2006/relationships" name="Age Sex Prev" sheetId="4" r:id="Re8eb0057514340aa"/>
    <x:sheet xmlns:r="http://schemas.openxmlformats.org/officeDocument/2006/relationships" name="Demo Parameters" sheetId="5" r:id="R79a79a90f2eb4828"/>
    <x:sheet xmlns:r="http://schemas.openxmlformats.org/officeDocument/2006/relationships" name="MCMC Diagnostics" sheetId="6" r:id="Ra8bf919840494234"/>
    <x:sheet xmlns:r="http://schemas.openxmlformats.org/officeDocument/2006/relationships" name="Population Weights" sheetId="7" r:id="Rcb94828fc7e24c74"/>
    <x:sheet xmlns:r="http://schemas.openxmlformats.org/officeDocument/2006/relationships" name="Clinical Summary" sheetId="8" r:id="R6bbba228c15d4cac"/>
    <x:sheet xmlns:r="http://schemas.openxmlformats.org/officeDocument/2006/relationships" name="Age Sex Funnel" sheetId="9" r:id="R314ce1a766134fd2"/>
    <x:sheet xmlns:r="http://schemas.openxmlformats.org/officeDocument/2006/relationships" name="Diagnosis Delay" sheetId="10" r:id="Re2c3b7cfe4824d1e"/>
    <x:sheet xmlns:r="http://schemas.openxmlformats.org/officeDocument/2006/relationships" name="Severity Sens" sheetId="11" r:id="Ra3dcf253c1ef4c21"/>
    <x:sheet xmlns:r="http://schemas.openxmlformats.org/officeDocument/2006/relationships" name="Duration" sheetId="12" r:id="Radb7c542a529434b"/>
    <x:sheet xmlns:r="http://schemas.openxmlformats.org/officeDocument/2006/relationships" name="Access Summary" sheetId="13" r:id="R51bdb7fd879a4353"/>
    <x:sheet xmlns:r="http://schemas.openxmlformats.org/officeDocument/2006/relationships" name="HS Molecule Mix" sheetId="14" r:id="Re6d0efe657774875"/>
    <x:sheet xmlns:r="http://schemas.openxmlformats.org/officeDocument/2006/relationships" name="HS Unit Share" sheetId="15" r:id="Rbdf1d9c63fde4749"/>
    <x:sheet xmlns:r="http://schemas.openxmlformats.org/officeDocument/2006/relationships" name="Indication Build" sheetId="16" r:id="Rba18f025716b483c"/>
    <x:sheet xmlns:r="http://schemas.openxmlformats.org/officeDocument/2006/relationships" name="Access Assumptions" sheetId="17" r:id="R98dd08c26f1140dc"/>
    <x:sheet xmlns:r="http://schemas.openxmlformats.org/officeDocument/2006/relationships" name="Access Checks" sheetId="18" r:id="Rf205f8c6fec847b0"/>
    <x:sheet xmlns:r="http://schemas.openxmlformats.org/officeDocument/2006/relationships" name="Access Drivers" sheetId="19" r:id="Rd995adbeaa2a4f6f"/>
    <x:sheet xmlns:r="http://schemas.openxmlformats.org/officeDocument/2006/relationships" name="Public Demand Input" sheetId="20" r:id="Rcc2193d5e4024bc2"/>
    <x:sheet xmlns:r="http://schemas.openxmlformats.org/officeDocument/2006/relationships" name="Onset Duration" sheetId="21" r:id="Rfb07468454734b90"/>
    <x:sheet xmlns:r="http://schemas.openxmlformats.org/officeDocument/2006/relationships" name="Clinical Evidence" sheetId="22" r:id="R663fc8a4ff264244"/>
    <x:sheet xmlns:r="http://schemas.openxmlformats.org/officeDocument/2006/relationships" name="Clinical RoB" sheetId="23" r:id="Ra3084223fcf04904"/>
    <x:sheet xmlns:r="http://schemas.openxmlformats.org/officeDocument/2006/relationships" name="Clinical Checks" sheetId="24" r:id="R5e48940b495c4d21"/>
    <x:sheet xmlns:r="http://schemas.openxmlformats.org/officeDocument/2006/relationships" name="Posterior" sheetId="25" r:id="Rd8fe9f4d33f34aff"/>
    <x:sheet xmlns:r="http://schemas.openxmlformats.org/officeDocument/2006/relationships" name="Sensitivity" sheetId="26" r:id="Rea4b1ac864c2442f"/>
    <x:sheet xmlns:r="http://schemas.openxmlformats.org/officeDocument/2006/relationships" name="LA Evidence" sheetId="27" r:id="R0cbb60a9caab4505"/>
    <x:sheet xmlns:r="http://schemas.openxmlformats.org/officeDocument/2006/relationships" name="Inclusion" sheetId="28" r:id="R5f2db420a1924ecf"/>
    <x:sheet xmlns:r="http://schemas.openxmlformats.org/officeDocument/2006/relationships" name="Risk of Bias" sheetId="29" r:id="Rf591362d468a4b1b"/>
    <x:sheet xmlns:r="http://schemas.openxmlformats.org/officeDocument/2006/relationships" name="Patient Journey" sheetId="30" r:id="Ra22b394950084b2a"/>
    <x:sheet xmlns:r="http://schemas.openxmlformats.org/officeDocument/2006/relationships" name="Treatment" sheetId="31" r:id="R1d9b5283d38d4fb8"/>
    <x:sheet xmlns:r="http://schemas.openxmlformats.org/officeDocument/2006/relationships" name="References" sheetId="32" r:id="R488a26350404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%"/>
    <x:numFmt numFmtId="201" formatCode="#,##0"/>
    <x:numFmt numFmtId="202" formatCode="0"/>
    <x:numFmt numFmtId="203" formatCode="0.0%"/>
    <x:numFmt numFmtId="204" formatCode="0.0000%"/>
    <x:numFmt numFmtId="205" formatCode="0.000"/>
  </x:numFmts>
  <x:fonts count="15">
    <x:font>
      <x:sz val="11"/>
      <x:name val="Carlito"/>
    </x:font>
    <x:font>
      <x:sz val="10"/>
      <x:color rgb="FF17201D"/>
      <x:name val="Aptos"/>
    </x:font>
    <x:font>
      <x:b/>
      <x:sz val="10"/>
      <x:color rgb="FFFFFFFF"/>
      <x:name val="Aptos Display"/>
    </x:font>
    <x:font>
      <x:b/>
      <x:sz val="18"/>
      <x:color rgb="FFFFFFFF"/>
      <x:name val="Aptos Display"/>
    </x:font>
    <x:font>
      <x:i/>
      <x:sz val="10"/>
      <x:color rgb="FF496058"/>
      <x:name val="Aptos"/>
    </x:font>
    <x:font>
      <x:b/>
      <x:sz val="13"/>
      <x:color rgb="FF145A46"/>
      <x:name val="Aptos Display"/>
    </x:font>
    <x:font>
      <x:b/>
      <x:sz val="12"/>
      <x:color rgb="FF145A46"/>
      <x:name val="Aptos Display"/>
    </x:font>
    <x:font>
      <x:b/>
      <x:sz val="13"/>
      <x:color rgb="FF7A5620"/>
      <x:name val="Aptos Display"/>
    </x:font>
    <x:font>
      <x:b/>
      <x:sz val="11"/>
      <x:color rgb="FFFFFFFF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3"/>
      <x:color rgb="FF145A46"/>
      <x:name val="Aptos"/>
    </x:font>
    <x:font>
      <x:b/>
      <x:sz val="13"/>
      <x:color rgb="FF7A5620"/>
      <x:name val="Aptos"/>
    </x:font>
    <x:font>
      <x:b/>
      <x:sz val="12"/>
      <x:color rgb="FF145A46"/>
      <x:name val="Aptos"/>
    </x:font>
    <x:font>
      <x:b/>
      <x:sz val="11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45A46"/>
      </x:patternFill>
    </x:fill>
    <x:fill>
      <x:patternFill patternType="solid">
        <x:fgColor rgb="FFDCEFE8"/>
      </x:patternFill>
    </x:fill>
    <x:fill>
      <x:patternFill patternType="solid">
        <x:fgColor rgb="FFF4F8F6"/>
      </x:patternFill>
    </x:fill>
    <x:fill>
      <x:patternFill patternType="solid">
        <x:fgColor rgb="FFF4EAD8"/>
      </x:patternFill>
    </x:fill>
    <x:fill>
      <x:patternFill patternType="solid">
        <x:fgColor rgb="FFB88A44"/>
      </x:patternFill>
    </x:fill>
  </x:fills>
  <x:borders count="4">
    <x:border/>
    <x:border>
      <x:left style="thin">
        <x:color rgb="FFD9E4DF"/>
      </x:left>
      <x:right style="thin">
        <x:color rgb="FFD9E4DF"/>
      </x:right>
      <x:top style="thin">
        <x:color rgb="FFD9E4DF"/>
      </x:top>
      <x:bottom style="thin">
        <x:color rgb="FFD9E4DF"/>
      </x:bottom>
    </x:border>
    <x:border>
      <x:left style="thin">
        <x:color rgb="FFC8D9D2"/>
      </x:left>
      <x:right style="thin">
        <x:color rgb="FFC8D9D2"/>
      </x:right>
      <x:top style="thin">
        <x:color rgb="FFC8D9D2"/>
      </x:top>
      <x:bottom style="thin">
        <x:color rgb="FFC8D9D2"/>
      </x:bottom>
    </x:border>
    <x:border>
      <x:left style="thin">
        <x:color rgb="FFDED4C2"/>
      </x:left>
      <x:right style="thin">
        <x:color rgb="FFDED4C2"/>
      </x:right>
      <x:top style="thin">
        <x:color rgb="FFDED4C2"/>
      </x:top>
      <x:bottom style="thin">
        <x:color rgb="FFDED4C2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4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202" fontId="6" fillId="0" borderId="2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6" borderId="3" xfId="0" applyNumberFormat="1" applyFont="1" applyFill="1" applyBorder="1"/>
    <x:xf numFmtId="0" fontId="8" fillId="6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/>
    <x:xf numFmtId="0" fontId="8" fillId="2" borderId="2" xfId="0" applyNumberFormat="1" applyFont="1" applyFill="1" applyBorder="1"/>
    <x:xf numFmtId="203" fontId="0" fillId="0" borderId="2" xfId="0" applyNumberFormat="1" applyFont="1" applyFill="1" applyBorder="1"/>
    <x:xf numFmtId="203" fontId="0" fillId="0" borderId="3" xfId="0" applyNumberFormat="1" applyFont="1" applyFill="1" applyBorder="1"/>
    <x:xf numFmtId="0" fontId="0" fillId="2" borderId="3" xfId="0" applyNumberFormat="1" applyFont="1" applyFill="1" applyBorder="1"/>
    <x:xf numFmtId="0" fontId="8" fillId="2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11" fillId="3" borderId="0" xfId="0" applyNumberFormat="1" applyFont="1" applyFill="1" applyBorder="1"/>
    <x:xf numFmtId="0" fontId="12" fillId="5" borderId="0" xfId="0" applyNumberFormat="1" applyFont="1" applyFill="1" applyBorder="1"/>
    <x:xf numFmtId="0" fontId="10" fillId="4" borderId="2" xfId="0" applyNumberFormat="1" applyFont="1" applyFill="1" applyBorder="1"/>
    <x:xf numFmtId="200" fontId="13" fillId="0" borderId="2" xfId="0" applyNumberFormat="1" applyFont="1" applyFill="1" applyBorder="1"/>
    <x:xf numFmtId="0" fontId="14" fillId="6" borderId="3" xfId="0" applyNumberFormat="1" applyFont="1" applyFill="1" applyBorder="1"/>
    <x:xf numFmtId="201" fontId="13" fillId="0" borderId="2" xfId="0" applyNumberFormat="1" applyFont="1" applyFill="1" applyBorder="1"/>
    <x:xf numFmtId="0" fontId="10" fillId="0" borderId="3" xfId="0" applyNumberFormat="1" applyFont="1" applyFill="1" applyBorder="1"/>
    <x:xf numFmtId="200" fontId="10" fillId="0" borderId="3" xfId="0" applyNumberFormat="1" applyFont="1" applyFill="1" applyBorder="1"/>
    <x:xf numFmtId="201" fontId="10" fillId="0" borderId="3" xfId="0" applyNumberFormat="1" applyFont="1" applyFill="1" applyBorder="1"/>
    <x:xf numFmtId="202" fontId="13" fillId="0" borderId="2" xfId="0" applyNumberFormat="1" applyFont="1" applyFill="1" applyBorder="1"/>
    <x:xf numFmtId="0" fontId="10" fillId="4" borderId="0" xfId="0" applyNumberFormat="1" applyFont="1" applyFill="1" applyBorder="1" applyAlignment="1">
      <x:alignment vertical="top" wrapText="1"/>
    </x:xf>
    <x:xf numFmtId="0" fontId="14" fillId="2" borderId="2" xfId="0" applyNumberFormat="1" applyFont="1" applyFill="1" applyBorder="1"/>
    <x:xf numFmtId="0" fontId="10" fillId="0" borderId="2" xfId="0" applyNumberFormat="1" applyFont="1" applyFill="1" applyBorder="1"/>
    <x:xf numFmtId="201" fontId="10" fillId="0" borderId="2" xfId="0" applyNumberFormat="1" applyFont="1" applyFill="1" applyBorder="1"/>
    <x:xf numFmtId="203" fontId="10" fillId="0" borderId="2" xfId="0" applyNumberFormat="1" applyFont="1" applyFill="1" applyBorder="1"/>
    <x:xf numFmtId="203" fontId="10" fillId="0" borderId="3" xfId="0" applyNumberFormat="1" applyFont="1" applyFill="1" applyBorder="1"/>
    <x:xf numFmtId="0" fontId="14" fillId="2" borderId="3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204" fontId="1" fillId="0" borderId="1" xfId="0" applyNumberFormat="1" applyFont="1" applyFill="1" applyBorder="1" applyAlignment="1">
      <x:alignment vertical="top" wrapText="1"/>
    </x:xf>
    <x:xf numFmtId="205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203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4541803b74577" /><Relationship Type="http://schemas.openxmlformats.org/officeDocument/2006/relationships/theme" Target="/xl/theme/theme1.xml" Id="R95097fb7a6ff41f4" /><Relationship Type="http://schemas.openxmlformats.org/officeDocument/2006/relationships/sharedStrings" Target="/xl/sharedStrings.xml" Id="R4e97a45a77274918" /><Relationship Type="http://schemas.openxmlformats.org/officeDocument/2006/relationships/worksheet" Target="/xl/worksheets/sheet1.xml" Id="R71f23f592f334990" /><Relationship Type="http://schemas.openxmlformats.org/officeDocument/2006/relationships/worksheet" Target="/xl/worksheets/sheet2.xml" Id="R70ebdf7a388342dc" /><Relationship Type="http://schemas.openxmlformats.org/officeDocument/2006/relationships/worksheet" Target="/xl/worksheets/sheet3.xml" Id="Ra18b51dba3844daa" /><Relationship Type="http://schemas.openxmlformats.org/officeDocument/2006/relationships/worksheet" Target="/xl/worksheets/sheet4.xml" Id="Re8eb0057514340aa" /><Relationship Type="http://schemas.openxmlformats.org/officeDocument/2006/relationships/worksheet" Target="/xl/worksheets/sheet5.xml" Id="R79a79a90f2eb4828" /><Relationship Type="http://schemas.openxmlformats.org/officeDocument/2006/relationships/worksheet" Target="/xl/worksheets/sheet6.xml" Id="Ra8bf919840494234" /><Relationship Type="http://schemas.openxmlformats.org/officeDocument/2006/relationships/worksheet" Target="/xl/worksheets/sheet7.xml" Id="Rcb94828fc7e24c74" /><Relationship Type="http://schemas.openxmlformats.org/officeDocument/2006/relationships/worksheet" Target="/xl/worksheets/sheet8.xml" Id="R6bbba228c15d4cac" /><Relationship Type="http://schemas.openxmlformats.org/officeDocument/2006/relationships/worksheet" Target="/xl/worksheets/sheet9.xml" Id="R314ce1a766134fd2" /><Relationship Type="http://schemas.openxmlformats.org/officeDocument/2006/relationships/worksheet" Target="/xl/worksheets/sheet10.xml" Id="Re2c3b7cfe4824d1e" /><Relationship Type="http://schemas.openxmlformats.org/officeDocument/2006/relationships/worksheet" Target="/xl/worksheets/sheet11.xml" Id="Ra3dcf253c1ef4c21" /><Relationship Type="http://schemas.openxmlformats.org/officeDocument/2006/relationships/worksheet" Target="/xl/worksheets/sheet12.xml" Id="Radb7c542a529434b" /><Relationship Type="http://schemas.openxmlformats.org/officeDocument/2006/relationships/worksheet" Target="/xl/worksheets/sheet13.xml" Id="R51bdb7fd879a4353" /><Relationship Type="http://schemas.openxmlformats.org/officeDocument/2006/relationships/worksheet" Target="/xl/worksheets/sheet14.xml" Id="Re6d0efe657774875" /><Relationship Type="http://schemas.openxmlformats.org/officeDocument/2006/relationships/worksheet" Target="/xl/worksheets/sheet15.xml" Id="Rbdf1d9c63fde4749" /><Relationship Type="http://schemas.openxmlformats.org/officeDocument/2006/relationships/worksheet" Target="/xl/worksheets/sheet16.xml" Id="Rba18f025716b483c" /><Relationship Type="http://schemas.openxmlformats.org/officeDocument/2006/relationships/worksheet" Target="/xl/worksheets/sheet17.xml" Id="R98dd08c26f1140dc" /><Relationship Type="http://schemas.openxmlformats.org/officeDocument/2006/relationships/worksheet" Target="/xl/worksheets/sheet18.xml" Id="Rf205f8c6fec847b0" /><Relationship Type="http://schemas.openxmlformats.org/officeDocument/2006/relationships/worksheet" Target="/xl/worksheets/sheet19.xml" Id="Rd995adbeaa2a4f6f" /><Relationship Type="http://schemas.openxmlformats.org/officeDocument/2006/relationships/worksheet" Target="/xl/worksheets/sheet20.xml" Id="Rcc2193d5e4024bc2" /><Relationship Type="http://schemas.openxmlformats.org/officeDocument/2006/relationships/worksheet" Target="/xl/worksheets/sheet21.xml" Id="Rfb07468454734b90" /><Relationship Type="http://schemas.openxmlformats.org/officeDocument/2006/relationships/worksheet" Target="/xl/worksheets/sheet22.xml" Id="R663fc8a4ff264244" /><Relationship Type="http://schemas.openxmlformats.org/officeDocument/2006/relationships/worksheet" Target="/xl/worksheets/sheet23.xml" Id="Ra3084223fcf04904" /><Relationship Type="http://schemas.openxmlformats.org/officeDocument/2006/relationships/worksheet" Target="/xl/worksheets/sheet24.xml" Id="R5e48940b495c4d21" /><Relationship Type="http://schemas.openxmlformats.org/officeDocument/2006/relationships/worksheet" Target="/xl/worksheets/sheet25.xml" Id="Rd8fe9f4d33f34aff" /><Relationship Type="http://schemas.openxmlformats.org/officeDocument/2006/relationships/worksheet" Target="/xl/worksheets/sheet26.xml" Id="Rea4b1ac864c2442f" /><Relationship Type="http://schemas.openxmlformats.org/officeDocument/2006/relationships/worksheet" Target="/xl/worksheets/sheet27.xml" Id="R0cbb60a9caab4505" /><Relationship Type="http://schemas.openxmlformats.org/officeDocument/2006/relationships/worksheet" Target="/xl/worksheets/sheet28.xml" Id="R5f2db420a1924ecf" /><Relationship Type="http://schemas.openxmlformats.org/officeDocument/2006/relationships/worksheet" Target="/xl/worksheets/sheet29.xml" Id="Rf591362d468a4b1b" /><Relationship Type="http://schemas.openxmlformats.org/officeDocument/2006/relationships/worksheet" Target="/xl/worksheets/sheet30.xml" Id="Ra22b394950084b2a" /><Relationship Type="http://schemas.openxmlformats.org/officeDocument/2006/relationships/worksheet" Target="/xl/worksheets/sheet31.xml" Id="R1d9b5283d38d4fb8" /><Relationship Type="http://schemas.openxmlformats.org/officeDocument/2006/relationships/worksheet" Target="/xl/worksheets/sheet32.xml" Id="R488a2635040445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17" hidden="0" customWidth="1"/>
    <x:col min="4" max="4" width="30" hidden="0" customWidth="1"/>
    <x:col min="5" max="5" width="28" hidden="0" customWidth="1"/>
    <x:col min="6" max="6" width="20" hidden="0" customWidth="1"/>
    <x:col min="7" max="7" width="17" hidden="0" customWidth="1"/>
    <x:col min="8" max="8" width="20" hidden="0" customWidth="1"/>
  </x:cols>
  <x:sheetData>
    <x:row r="1" ht="38" customHeight="1">
      <x:c r="A1" s="42" t="str">
        <x:v>Hidradenitis supurativa | Epidemiología, clínica y escenario de acceso público</x:v>
      </x:c>
      <x:c r="B1" s="42"/>
      <x:c r="C1" s="42"/>
      <x:c r="D1" s="42"/>
      <x:c r="E1" s="42"/>
      <x:c r="F1" s="42"/>
      <x:c r="G1" s="42"/>
      <x:c r="H1" s="42"/>
    </x:row>
    <x:row r="2">
      <x:c r="A2" s="43"/>
      <x:c r="B2" s="43"/>
      <x:c r="C2" s="43"/>
      <x:c r="D2" s="43"/>
      <x:c r="E2" s="43"/>
      <x:c r="F2" s="43"/>
      <x:c r="G2" s="43"/>
      <x:c r="H2" s="43"/>
    </x:row>
    <x:row r="3">
      <x:c r="A3" s="10" t="str">
        <x:v>Síntesis reproducible · evidencia hasta 2026-09-24 · acceso prior-predictivo, no demanda observada</x:v>
      </x:c>
      <x:c r="B3" s="10"/>
      <x:c r="C3" s="10"/>
      <x:c r="D3" s="10"/>
      <x:c r="E3" s="10"/>
      <x:c r="F3" s="10"/>
      <x:c r="G3" s="10"/>
      <x:c r="H3" s="10"/>
    </x:row>
    <x:row r="4">
      <x:c r="A4" s="43"/>
      <x:c r="B4" s="43"/>
      <x:c r="C4" s="43"/>
      <x:c r="D4" s="43"/>
      <x:c r="E4" s="43"/>
      <x:c r="F4" s="43"/>
      <x:c r="G4" s="43"/>
      <x:c r="H4" s="43"/>
    </x:row>
    <x:row r="5">
      <x:c r="A5" s="44" t="str">
        <x:v>Estimación central para México</x:v>
      </x:c>
      <x:c r="B5" s="44"/>
      <x:c r="C5" s="44"/>
      <x:c r="D5" s="44"/>
      <x:c r="E5" s="45" t="str">
        <x:v>Escenarios operativos</x:v>
      </x:c>
      <x:c r="F5" s="45"/>
      <x:c r="G5" s="45"/>
      <x:c r="H5" s="45"/>
    </x:row>
    <x:row r="6">
      <x:c r="A6" s="46" t="str">
        <x:v>Prevalencia P50</x:v>
      </x:c>
      <x:c r="B6" s="47" t="n">
        <x:f>Scenarios!C3/100</x:f>
        <x:v>0.008986085456096693</x:v>
      </x:c>
      <x:c r="C6" s="43"/>
      <x:c r="D6" s="43"/>
      <x:c r="E6" s="48" t="str">
        <x:v>Escenario</x:v>
      </x:c>
      <x:c r="F6" s="48" t="str">
        <x:v>Prevalencia</x:v>
      </x:c>
      <x:c r="G6" s="48" t="str">
        <x:v>Personas</x:v>
      </x:c>
      <x:c r="H6" s="48" t="str">
        <x:v>Uso</x:v>
      </x:c>
    </x:row>
    <x:row r="7">
      <x:c r="A7" s="46" t="str">
        <x:v>Personas prevalentes P50</x:v>
      </x:c>
      <x:c r="B7" s="49" t="n">
        <x:f>Scenarios!D3</x:f>
        <x:v>1175928</x:v>
      </x:c>
      <x:c r="C7" s="43"/>
      <x:c r="D7" s="43"/>
      <x:c r="E7" s="50" t="str">
        <x:v>P10</x:v>
      </x:c>
      <x:c r="F7" s="51" t="n">
        <x:f>Scenarios!C2/100</x:f>
        <x:v>0.002336162129197045</x:v>
      </x:c>
      <x:c r="G7" s="52" t="n">
        <x:f>Scenarios!D2</x:f>
        <x:v>305713</x:v>
      </x:c>
      <x:c r="H7" s="50" t="str">
        <x:v>Conservador</x:v>
      </x:c>
    </x:row>
    <x:row r="8">
      <x:c r="A8" s="46" t="str">
        <x:v>Población base</x:v>
      </x:c>
      <x:c r="B8" s="49" t="n">
        <x:f>Scenarios!E3</x:f>
        <x:v>130861007</x:v>
      </x:c>
      <x:c r="C8" s="43"/>
      <x:c r="D8" s="43"/>
      <x:c r="E8" s="50" t="str">
        <x:v>P50</x:v>
      </x:c>
      <x:c r="F8" s="51" t="n">
        <x:f>Scenarios!C3/100</x:f>
        <x:v>0.008986085456096693</x:v>
      </x:c>
      <x:c r="G8" s="52" t="n">
        <x:f>Scenarios!D3</x:f>
        <x:v>1175928</x:v>
      </x:c>
      <x:c r="H8" s="50" t="str">
        <x:v>Central</x:v>
      </x:c>
    </x:row>
    <x:row r="9">
      <x:c r="A9" s="46" t="str">
        <x:v>Año del denominador</x:v>
      </x:c>
      <x:c r="B9" s="53" t="n">
        <x:f>Scenarios!F3</x:f>
        <x:v>2024</x:v>
      </x:c>
      <x:c r="C9" s="43"/>
      <x:c r="D9" s="43"/>
      <x:c r="E9" s="50" t="str">
        <x:v>P90</x:v>
      </x:c>
      <x:c r="F9" s="51" t="n">
        <x:f>Scenarios!C4/100</x:f>
        <x:v>0.03354228312958307</x:v>
      </x:c>
      <x:c r="G9" s="52" t="n">
        <x:f>Scenarios!D4</x:f>
        <x:v>4389377</x:v>
      </x:c>
      <x:c r="H9" s="50" t="str">
        <x:v>Alto</x:v>
      </x:c>
    </x:row>
    <x:row r="10">
      <x:c r="A10" s="43"/>
      <x:c r="B10" s="43"/>
      <x:c r="C10" s="43"/>
      <x:c r="D10" s="43"/>
      <x:c r="E10" s="43"/>
      <x:c r="F10" s="43"/>
      <x:c r="G10" s="43"/>
      <x:c r="H10" s="43"/>
    </x:row>
    <x:row r="11">
      <x:c r="A11" s="43"/>
      <x:c r="B11" s="43"/>
      <x:c r="C11" s="43"/>
      <x:c r="D11" s="43"/>
      <x:c r="E11" s="43"/>
      <x:c r="F11" s="43"/>
      <x:c r="G11" s="43"/>
      <x:c r="H11" s="43"/>
    </x:row>
    <x:row r="12">
      <x:c r="A12" s="44" t="str">
        <x:v>Interpretación correcta</x:v>
      </x:c>
      <x:c r="B12" s="44"/>
      <x:c r="C12" s="44"/>
      <x:c r="D12" s="44"/>
      <x:c r="E12" s="44"/>
      <x:c r="F12" s="44"/>
      <x:c r="G12" s="44"/>
      <x:c r="H12" s="44"/>
    </x:row>
    <x:row r="13">
      <x:c r="A13" s="54" t="str">
        <x:v>La prevalencia se estima por 12 celdas de edad y sexo y se postestratifica a México. El acceso público se simula con rangos explícitos porque no se obtuvo una serie nacional de demanda, entrega o dispensación. Sus resultados son escenarios de planeación, no ventas ni pacientes observados.</x:v>
      </x:c>
      <x:c r="B13" s="54"/>
      <x:c r="C13" s="54"/>
      <x:c r="D13" s="54"/>
      <x:c r="E13" s="54"/>
      <x:c r="F13" s="54"/>
      <x:c r="G13" s="54"/>
      <x:c r="H13" s="54"/>
    </x:row>
    <x:row r="14">
      <x:c r="A14" s="54"/>
      <x:c r="B14" s="54"/>
      <x:c r="C14" s="54"/>
      <x:c r="D14" s="54"/>
      <x:c r="E14" s="54"/>
      <x:c r="F14" s="54"/>
      <x:c r="G14" s="54"/>
      <x:c r="H14" s="54"/>
    </x:row>
    <x:row r="15">
      <x:c r="A15" s="54"/>
      <x:c r="B15" s="54"/>
      <x:c r="C15" s="54"/>
      <x:c r="D15" s="54"/>
      <x:c r="E15" s="54"/>
      <x:c r="F15" s="54"/>
      <x:c r="G15" s="54"/>
      <x:c r="H15" s="54"/>
    </x:row>
    <x:row r="16">
      <x:c r="A16" s="54"/>
      <x:c r="B16" s="54"/>
      <x:c r="C16" s="54"/>
      <x:c r="D16" s="54"/>
      <x:c r="E16" s="54"/>
      <x:c r="F16" s="54"/>
      <x:c r="G16" s="54"/>
      <x:c r="H16" s="54"/>
    </x:row>
    <x:row r="17">
      <x:c r="A17" s="43"/>
      <x:c r="B17" s="43"/>
      <x:c r="C17" s="43"/>
      <x:c r="D17" s="43"/>
      <x:c r="E17" s="43"/>
      <x:c r="F17" s="43"/>
      <x:c r="G17" s="43"/>
      <x:c r="H17" s="43"/>
    </x:row>
    <x:row r="18">
      <x:c r="A18" s="44" t="str">
        <x:v>Embudo clínico-demográfico — P50</x:v>
      </x:c>
      <x:c r="B18" s="44"/>
      <x:c r="C18" s="44"/>
      <x:c r="D18" s="44"/>
      <x:c r="E18" s="44"/>
      <x:c r="F18" s="44"/>
      <x:c r="G18" s="44"/>
      <x:c r="H18" s="44"/>
    </x:row>
    <x:row r="19">
      <x:c r="A19" s="55" t="str">
        <x:v>Estado</x:v>
      </x:c>
      <x:c r="B19" s="55" t="str">
        <x:v>Personas</x:v>
      </x:c>
      <x:c r="C19" s="55" t="str">
        <x:v>% del prevalente</x:v>
      </x:c>
      <x:c r="D19" s="55" t="str">
        <x:v>Interpretación</x:v>
      </x:c>
      <x:c r="E19" s="48" t="str">
        <x:v>Driver</x:v>
      </x:c>
      <x:c r="F19" s="48" t="str">
        <x:v>Bajo</x:v>
      </x:c>
      <x:c r="G19" s="48" t="str">
        <x:v>Base</x:v>
      </x:c>
      <x:c r="H19" s="48" t="str">
        <x:v>Alto</x:v>
      </x:c>
    </x:row>
    <x:row r="20">
      <x:c r="A20" s="56" t="str">
        <x:v>Prevalente verdadera</x:v>
      </x:c>
      <x:c r="B20" s="57" t="n">
        <x:f>'Clinical Summary'!C2</x:f>
        <x:v>1175928.1917728675</x:v>
      </x:c>
      <x:c r="C20" s="58" t="n">
        <x:f>B20/B20</x:f>
        <x:v>1</x:v>
      </x:c>
      <x:c r="D20" s="56" t="str">
        <x:v>Prior epidemiológico</x:v>
      </x:c>
      <x:c r="E20" s="50" t="str">
        <x:v>Media retraso diagnóstico (años)</x:v>
      </x:c>
      <x:c r="F20" s="50" t="n">
        <x:v>7</x:v>
      </x:c>
      <x:c r="G20" s="50" t="n">
        <x:v>10</x:v>
      </x:c>
      <x:c r="H20" s="50" t="n">
        <x:v>14</x:v>
      </x:c>
    </x:row>
    <x:row r="21">
      <x:c r="A21" s="56" t="str">
        <x:v>Diagnosticada proxy</x:v>
      </x:c>
      <x:c r="B21" s="57" t="n">
        <x:f>'Clinical Summary'!C3</x:f>
        <x:v>805896.9297038722</x:v>
      </x:c>
      <x:c r="C21" s="58" t="n">
        <x:f>B21/B20</x:f>
        <x:v>0.6853283519709447</x:v>
      </x:c>
      <x:c r="D21" s="56" t="str">
        <x:v>Duración + retraso diagnóstico</x:v>
      </x:c>
      <x:c r="E21" s="50" t="str">
        <x:v>Fracción diagnosticada</x:v>
      </x:c>
      <x:c r="F21" s="59" t="n">
        <x:f>'Diagnosis Delay'!D2</x:f>
        <x:v>0.7713377006779141</x:v>
      </x:c>
      <x:c r="G21" s="59" t="n">
        <x:f>'Diagnosis Delay'!D3</x:f>
        <x:v>0.6890582002298622</x:v>
      </x:c>
      <x:c r="H21" s="59" t="n">
        <x:f>'Diagnosis Delay'!D4</x:f>
        <x:v>0.5875725564959868</x:v>
      </x:c>
    </x:row>
    <x:row r="22">
      <x:c r="A22" s="56" t="str">
        <x:v>Diagnosticada moderada/severa proxy</x:v>
      </x:c>
      <x:c r="B22" s="57" t="n">
        <x:f>'Clinical Summary'!C9</x:f>
        <x:v>377821.7354628955</x:v>
      </x:c>
      <x:c r="C22" s="58" t="n">
        <x:f>B22/B20</x:f>
        <x:v>0.3212966047640028</x:v>
      </x:c>
      <x:c r="D22" s="56" t="str">
        <x:v>Pool antes de acceso y tratamiento</x:v>
      </x:c>
      <x:c r="E22" s="50" t="str">
        <x:v>Share moderada/severa</x:v>
      </x:c>
      <x:c r="F22" s="59" t="n">
        <x:f>'Severity Sens'!E4</x:f>
        <x:v>0.32</x:v>
      </x:c>
      <x:c r="G22" s="59" t="n">
        <x:f>'Severity Sens'!E2</x:f>
        <x:v>0.46728971962616817</x:v>
      </x:c>
      <x:c r="H22" s="59" t="n">
        <x:f>'Severity Sens'!E3</x:f>
        <x:v>0.5449999999999999</x:v>
      </x:c>
    </x:row>
    <x:row r="23">
      <x:c r="A23" s="43"/>
      <x:c r="B23" s="43"/>
      <x:c r="C23" s="43"/>
      <x:c r="D23" s="43"/>
      <x:c r="E23" s="43"/>
      <x:c r="F23" s="43"/>
      <x:c r="G23" s="43"/>
      <x:c r="H23" s="43"/>
    </x:row>
    <x:row r="24">
      <x:c r="A24" s="43"/>
      <x:c r="B24" s="43"/>
      <x:c r="C24" s="43"/>
      <x:c r="D24" s="43"/>
      <x:c r="E24" s="43"/>
      <x:c r="F24" s="43"/>
      <x:c r="G24" s="43"/>
      <x:c r="H24" s="43"/>
    </x:row>
    <x:row r="25">
      <x:c r="A25" s="45" t="str">
        <x:v>Escenario de acceso público — P50</x:v>
      </x:c>
      <x:c r="B25" s="45"/>
      <x:c r="C25" s="45"/>
      <x:c r="D25" s="45"/>
      <x:c r="E25" s="45"/>
      <x:c r="F25" s="45"/>
      <x:c r="G25" s="45"/>
      <x:c r="H25" s="45"/>
    </x:row>
    <x:row r="26">
      <x:c r="A26" s="60" t="str">
        <x:v>Estado</x:v>
      </x:c>
      <x:c r="B26" s="60" t="str">
        <x:v>Paciente-año</x:v>
      </x:c>
      <x:c r="C26" s="60" t="str">
        <x:v>Naturaleza</x:v>
      </x:c>
      <x:c r="D26" s="60" t="str">
        <x:v>Lectura</x:v>
      </x:c>
      <x:c r="E26" s="48" t="str">
        <x:v>Molécula</x:v>
      </x:c>
      <x:c r="F26" s="48" t="str">
        <x:v>Actual P50</x:v>
      </x:c>
      <x:c r="G26" s="48" t="str">
        <x:v>Lanzamiento P50</x:v>
      </x:c>
      <x:c r="H26" s="48" t="str">
        <x:v>Unidad</x:v>
      </x:c>
    </x:row>
    <x:row r="27">
      <x:c r="A27" s="50" t="str">
        <x:v>Pool público clínico</x:v>
      </x:c>
      <x:c r="B27" s="52" t="n">
        <x:f>'Access Summary'!D6</x:f>
        <x:v>130332</x:v>
      </x:c>
      <x:c r="C27" s="50" t="str">
        <x:v>Supuesto</x:v>
      </x:c>
      <x:c r="D27" s="50" t="str">
        <x:v>Antes de especialista</x:v>
      </x:c>
      <x:c r="E27" s="50" t="str">
        <x:v>Adalimumab</x:v>
      </x:c>
      <x:c r="F27" s="52" t="n">
        <x:f>'HS Molecule Mix'!D2</x:f>
        <x:v>4408</x:v>
      </x:c>
      <x:c r="G27" s="52" t="n">
        <x:f>'HS Molecule Mix'!D5</x:f>
        <x:v>3487</x:v>
      </x:c>
      <x:c r="H27" s="50" t="str">
        <x:v>Paciente-año HS</x:v>
      </x:c>
    </x:row>
    <x:row r="28">
      <x:c r="A28" s="50" t="str">
        <x:v>Evaluado por especialista</x:v>
      </x:c>
      <x:c r="B28" s="52" t="n">
        <x:f>'Access Summary'!D7</x:f>
        <x:v>32623</x:v>
      </x:c>
      <x:c r="C28" s="50" t="str">
        <x:v>Supuesto</x:v>
      </x:c>
      <x:c r="D28" s="50" t="str">
        <x:v>Llega a evaluación</x:v>
      </x:c>
      <x:c r="E28" s="50" t="str">
        <x:v>Secukinumab</x:v>
      </x:c>
      <x:c r="F28" s="52" t="n">
        <x:f>'HS Molecule Mix'!D3</x:f>
        <x:v>716</x:v>
      </x:c>
      <x:c r="G28" s="52" t="n">
        <x:f>'HS Molecule Mix'!D6</x:f>
        <x:v>1047</x:v>
      </x:c>
      <x:c r="H28" s="50" t="str">
        <x:v>Paciente-año HS</x:v>
      </x:c>
    </x:row>
    <x:row r="29">
      <x:c r="A29" s="50" t="str">
        <x:v>Biológico iniciado</x:v>
      </x:c>
      <x:c r="B29" s="52" t="n">
        <x:f>'Access Summary'!D8</x:f>
        <x:v>8174</x:v>
      </x:c>
      <x:c r="C29" s="50" t="str">
        <x:v>Supuesto</x:v>
      </x:c>
      <x:c r="D29" s="50" t="str">
        <x:v>Inicio potencial</x:v>
      </x:c>
      <x:c r="E29" s="50" t="str">
        <x:v>Bimekizumab</x:v>
      </x:c>
      <x:c r="F29" s="52" t="n">
        <x:f>'HS Molecule Mix'!D4</x:f>
        <x:v>0</x:v>
      </x:c>
      <x:c r="G29" s="52" t="n">
        <x:f>'HS Molecule Mix'!D7</x:f>
        <x:v>420</x:v>
      </x:c>
      <x:c r="H29" s="50" t="str">
        <x:v>Paciente-año HS</x:v>
      </x:c>
    </x:row>
    <x:row r="30">
      <x:c r="A30" s="50" t="str">
        <x:v>Persistente</x:v>
      </x:c>
      <x:c r="B30" s="52" t="n">
        <x:f>'Access Summary'!D9</x:f>
        <x:v>5204</x:v>
      </x:c>
      <x:c r="C30" s="50" t="str">
        <x:v>Supuesto</x:v>
      </x:c>
      <x:c r="D30" s="50" t="str">
        <x:v>Paciente-año de planeación</x:v>
      </x:c>
      <x:c r="E30" s="50" t="str">
        <x:v>Bimekizumab actual = cero estructural; no implica ventas observadas.</x:v>
      </x:c>
      <x:c r="F30" s="50"/>
      <x:c r="G30" s="50"/>
      <x:c r="H30" s="50"/>
    </x:row>
    <x:row r="31">
      <x:c r="A31" s="43"/>
      <x:c r="B31" s="43"/>
      <x:c r="C31" s="43"/>
      <x:c r="D31" s="43"/>
      <x:c r="E31" s="43"/>
      <x:c r="F31" s="43"/>
      <x:c r="G31" s="43"/>
      <x:c r="H31" s="43"/>
    </x:row>
    <x:row r="32">
      <x:c r="A32" s="43"/>
      <x:c r="B32" s="43"/>
      <x:c r="C32" s="43"/>
      <x:c r="D32" s="43"/>
      <x:c r="E32" s="43"/>
      <x:c r="F32" s="43"/>
      <x:c r="G32" s="43"/>
      <x:c r="H32" s="43"/>
    </x:row>
    <x:row r="33">
      <x:c r="A33" s="44" t="str">
        <x:v>Navegación</x:v>
      </x:c>
      <x:c r="B33" s="44"/>
      <x:c r="C33" s="44"/>
      <x:c r="D33" s="44"/>
      <x:c r="E33" s="44"/>
      <x:c r="F33" s="44"/>
      <x:c r="G33" s="44"/>
      <x:c r="H33" s="44"/>
    </x:row>
    <x:row r="34">
      <x:c r="A34" s="61" t="str">
        <x:v>Access Summary</x:v>
      </x:c>
      <x:c r="B34" s="61" t="str">
        <x:v>Funnel público</x:v>
      </x:c>
      <x:c r="C34" s="61" t="str">
        <x:v>HS Molecule Mix</x:v>
      </x:c>
      <x:c r="D34" s="61" t="str">
        <x:v>Asignación HS</x:v>
      </x:c>
      <x:c r="E34" s="61" t="str">
        <x:v>HS Unit Share</x:v>
      </x:c>
      <x:c r="F34" s="61" t="str">
        <x:v>Share modelado</x:v>
      </x:c>
      <x:c r="G34" s="61" t="str">
        <x:v>Indication Build</x:v>
      </x:c>
      <x:c r="H34" s="61" t="str">
        <x:v>Comparadores</x:v>
      </x:c>
    </x:row>
    <x:row r="35">
      <x:c r="A35" s="61" t="str">
        <x:v>Access Assumptions</x:v>
      </x:c>
      <x:c r="B35" s="61" t="str">
        <x:v>Supuestos editables</x:v>
      </x:c>
      <x:c r="C35" s="61" t="str">
        <x:v>Access Checks</x:v>
      </x:c>
      <x:c r="D35" s="61" t="str">
        <x:v>Validación</x:v>
      </x:c>
      <x:c r="E35" s="61" t="str">
        <x:v>Access Drivers</x:v>
      </x:c>
      <x:c r="F35" s="61" t="str">
        <x:v>Sensibilidad</x:v>
      </x:c>
      <x:c r="G35" s="61" t="str">
        <x:v>Public Demand Input</x:v>
      </x:c>
      <x:c r="H35" s="61" t="str">
        <x:v>Carga futura</x:v>
      </x:c>
    </x:row>
    <x:row r="36">
      <x:c r="A36" s="61" t="str">
        <x:v>Clinical Summary</x:v>
      </x:c>
      <x:c r="B36" s="61" t="str">
        <x:v>Embudo nacional</x:v>
      </x:c>
      <x:c r="C36" s="61" t="str">
        <x:v>Age Sex Funnel</x:v>
      </x:c>
      <x:c r="D36" s="61" t="str">
        <x:v>Cohortes</x:v>
      </x:c>
      <x:c r="E36" s="61" t="str">
        <x:v>Diagnosis Delay</x:v>
      </x:c>
      <x:c r="F36" s="61" t="str">
        <x:v>Sensibilidad</x:v>
      </x:c>
      <x:c r="G36" s="61" t="str">
        <x:v>Severity Sens</x:v>
      </x:c>
      <x:c r="H36" s="61" t="str">
        <x:v>Sensibilidad</x:v>
      </x:c>
    </x:row>
    <x:row r="37">
      <x:c r="A37" s="61" t="str">
        <x:v>Duration</x:v>
      </x:c>
      <x:c r="B37" s="61" t="str">
        <x:v>Duración sintética</x:v>
      </x:c>
      <x:c r="C37" s="61" t="str">
        <x:v>Clinical Evidence</x:v>
      </x:c>
      <x:c r="D37" s="61" t="str">
        <x:v>Fuentes clínicas</x:v>
      </x:c>
      <x:c r="E37" s="61" t="str">
        <x:v>Clinical RoB</x:v>
      </x:c>
      <x:c r="F37" s="61" t="str">
        <x:v>Indirectitud</x:v>
      </x:c>
      <x:c r="G37" s="61" t="str">
        <x:v>Clinical Checks</x:v>
      </x:c>
      <x:c r="H37" s="61" t="str">
        <x:v>Validación</x:v>
      </x:c>
    </x:row>
    <x:row r="38">
      <x:c r="A38" s="61" t="str">
        <x:v>Scenarios</x:v>
      </x:c>
      <x:c r="B38" s="61" t="str">
        <x:v>P10/P50/P90 epidemiológico</x:v>
      </x:c>
      <x:c r="C38" s="61" t="str">
        <x:v>Demo Poststrat</x:v>
      </x:c>
      <x:c r="D38" s="61" t="str">
        <x:v>Ajuste México</x:v>
      </x:c>
      <x:c r="E38" s="61" t="str">
        <x:v>Age Sex Prev</x:v>
      </x:c>
      <x:c r="F38" s="61" t="str">
        <x:v>Prevalencia por celda</x:v>
      </x:c>
      <x:c r="G38" s="61" t="str">
        <x:v>Demo Parameters</x:v>
      </x:c>
      <x:c r="H38" s="61" t="str">
        <x:v>Priors y posterior</x:v>
      </x:c>
    </x:row>
    <x:row r="39">
      <x:c r="A39" s="61" t="str">
        <x:v>Risk of Bias</x:v>
      </x:c>
      <x:c r="B39" s="61" t="str">
        <x:v>Limitaciones por diseño</x:v>
      </x:c>
      <x:c r="C39" s="61" t="str">
        <x:v>Patient Journey</x:v>
      </x:c>
      <x:c r="D39" s="61" t="str">
        <x:v>Estados del funnel</x:v>
      </x:c>
      <x:c r="E39" s="61" t="str">
        <x:v>Treatment</x:v>
      </x:c>
      <x:c r="F39" s="61" t="str">
        <x:v>Rutas clínicas</x:v>
      </x:c>
      <x:c r="G39" s="61" t="str">
        <x:v>References</x:v>
      </x:c>
      <x:c r="H39" s="61" t="str">
        <x:v>Bibliografía</x:v>
      </x:c>
    </x:row>
    <x:row r="40">
      <x:c r="A40" s="61" t="str">
        <x:v>Método</x:v>
      </x:c>
      <x:c r="B40" s="61" t="str">
        <x:v>Bayes ecológico + prior predictivo</x:v>
      </x:c>
      <x:c r="C40" s="61" t="str">
        <x:v>Primary n</x:v>
      </x:c>
      <x:c r="D40" s="61" t="n">
        <x:v>22743</x:v>
      </x:c>
      <x:c r="E40" s="61" t="str">
        <x:v>Primary cases</x:v>
      </x:c>
      <x:c r="F40" s="61" t="n">
        <x:v>247</x:v>
      </x:c>
      <x:c r="G40" s="61" t="str">
        <x:v>MCMC R-hat max</x:v>
      </x:c>
      <x:c r="H40" s="61" t="n">
        <x:v>1.018</x:v>
      </x:c>
    </x:row>
  </x:sheetData>
  <x:mergeCells>
    <x:mergeCell ref="A1:H1"/>
    <x:mergeCell ref="A3:H3"/>
    <x:mergeCell ref="A5:D5"/>
    <x:mergeCell ref="E5:H5"/>
    <x:mergeCell ref="A12:H12"/>
    <x:mergeCell ref="A13:H16"/>
    <x:mergeCell ref="A18:H18"/>
    <x:mergeCell ref="A25:H25"/>
    <x:mergeCell ref="E30:H30"/>
    <x:mergeCell ref="A33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.329999923706055" hidden="0" customWidth="1"/>
    <x:col min="4" max="4" width="12.670000076293945" hidden="0" customWidth="1"/>
    <x:col min="5" max="5" width="12.220000267028809" hidden="0" customWidth="1"/>
    <x:col min="6" max="6" width="11.890000343322754" hidden="0" customWidth="1"/>
  </x:cols>
  <x:sheetData>
    <x:row r="1" ht="15" hidden="0" customHeight="1">
      <x:c r="A1" s="6" t="str">
        <x:v>scenario</x:v>
      </x:c>
      <x:c r="B1" s="6" t="str">
        <x:v>prevalence</x:v>
      </x:c>
      <x:c r="C1" s="6" t="str">
        <x:v>prevalence_pct</x:v>
      </x:c>
      <x:c r="D1" s="6" t="str">
        <x:v>prevalent_people</x:v>
      </x:c>
      <x:c r="E1" s="6" t="str">
        <x:v>population_base</x:v>
      </x:c>
      <x:c r="F1" s="6" t="str">
        <x:v>population_year</x:v>
      </x:c>
    </x:row>
    <x:row r="2" ht="15" hidden="0" customHeight="1">
      <x:c r="A2" s="7" t="str">
        <x:v>Low (P10)</x:v>
      </x:c>
      <x:c r="B2" s="62" t="n">
        <x:v>0.002336162129197045</x:v>
      </x:c>
      <x:c r="C2" s="63" t="n">
        <x:v>0.23361621291970452</x:v>
      </x:c>
      <x:c r="D2" s="64" t="n">
        <x:v>305713</x:v>
      </x:c>
      <x:c r="E2" s="64" t="n">
        <x:v>130861007</x:v>
      </x:c>
      <x:c r="F2" s="65" t="n">
        <x:v>2024</x:v>
      </x:c>
    </x:row>
    <x:row r="3" ht="15" hidden="0" customHeight="1">
      <x:c r="A3" s="7" t="str">
        <x:v>Central (P50)</x:v>
      </x:c>
      <x:c r="B3" s="62" t="n">
        <x:v>0.008986085456096693</x:v>
      </x:c>
      <x:c r="C3" s="63" t="n">
        <x:v>0.8986085456096693</x:v>
      </x:c>
      <x:c r="D3" s="64" t="n">
        <x:v>1175928</x:v>
      </x:c>
      <x:c r="E3" s="64" t="n">
        <x:v>130861007</x:v>
      </x:c>
      <x:c r="F3" s="65" t="n">
        <x:v>2024</x:v>
      </x:c>
    </x:row>
    <x:row r="4" ht="15" hidden="0" customHeight="1">
      <x:c r="A4" s="7" t="str">
        <x:v>High (P90)</x:v>
      </x:c>
      <x:c r="B4" s="62" t="n">
        <x:v>0.03354228312958307</x:v>
      </x:c>
      <x:c r="C4" s="63" t="n">
        <x:v>3.3542283129583073</x:v>
      </x:c>
      <x:c r="D4" s="64" t="n">
        <x:v>4389377</x:v>
      </x:c>
      <x:c r="E4" s="64" t="n">
        <x:v>130861007</x:v>
      </x:c>
      <x:c r="F4" s="65" t="n">
        <x:v>2024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88999938964843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15" hidden="0" customHeight="1">
      <x:c r="A1" s="6" t="str">
        <x:v>metric</x:v>
      </x:c>
      <x:c r="B1" s="6" t="str">
        <x:v>mean</x:v>
      </x:c>
      <x:c r="C1" s="6" t="str">
        <x:v>sd</x:v>
      </x:c>
      <x:c r="D1" s="6" t="str">
        <x:v>q025</x:v>
      </x:c>
      <x:c r="E1" s="6" t="str">
        <x:v>q10</x:v>
      </x:c>
      <x:c r="F1" s="6" t="str">
        <x:v>q25</x:v>
      </x:c>
      <x:c r="G1" s="6" t="str">
        <x:v>median</x:v>
      </x:c>
      <x:c r="H1" s="6" t="str">
        <x:v>q75</x:v>
      </x:c>
      <x:c r="I1" s="6" t="str">
        <x:v>q90</x:v>
      </x:c>
      <x:c r="J1" s="6" t="str">
        <x:v>q975</x:v>
      </x:c>
    </x:row>
    <x:row r="2" ht="15" hidden="0" customHeight="1">
      <x:c r="A2" s="7" t="str">
        <x:v>Reference standardized prevalence</x:v>
      </x:c>
      <x:c r="B2" s="62" t="n">
        <x:v>0.009031238582775904</x:v>
      </x:c>
      <x:c r="C2" s="62" t="n">
        <x:v>0.002138827897309264</x:v>
      </x:c>
      <x:c r="D2" s="62" t="n">
        <x:v>0.005393450654636683</x:v>
      </x:c>
      <x:c r="E2" s="62" t="n">
        <x:v>0.006329255950225597</x:v>
      </x:c>
      <x:c r="F2" s="62" t="n">
        <x:v>0.007439126754509941</x:v>
      </x:c>
      <x:c r="G2" s="62" t="n">
        <x:v>0.008904932529426873</x:v>
      </x:c>
      <x:c r="H2" s="62" t="n">
        <x:v>0.010503276885296394</x:v>
      </x:c>
      <x:c r="I2" s="62" t="n">
        <x:v>0.011959834923229953</x:v>
      </x:c>
      <x:c r="J2" s="7" t="n">
        <x:v>0.013411114839252204</x:v>
      </x:c>
    </x:row>
    <x:row r="3" ht="15" hidden="0" customHeight="1">
      <x:c r="A3" s="7" t="str">
        <x:v>Mexico demographic prevalence</x:v>
      </x:c>
      <x:c r="B3" s="62" t="n">
        <x:v>0.009239488502919824</x:v>
      </x:c>
      <x:c r="C3" s="62" t="n">
        <x:v>0.002204324464428387</x:v>
      </x:c>
      <x:c r="D3" s="62" t="n">
        <x:v>0.005501643105527703</x:v>
      </x:c>
      <x:c r="E3" s="62" t="n">
        <x:v>0.006472693311529581</x:v>
      </x:c>
      <x:c r="F3" s="62" t="n">
        <x:v>0.007592551020745035</x:v>
      </x:c>
      <x:c r="G3" s="62" t="n">
        <x:v>0.00908955178281157</x:v>
      </x:c>
      <x:c r="H3" s="62" t="n">
        <x:v>0.010759630145492376</x:v>
      </x:c>
      <x:c r="I3" s="62" t="n">
        <x:v>0.012259905217525518</x:v>
      </x:c>
      <x:c r="J3" s="7" t="n">
        <x:v>0.013777822746880997</x:v>
      </x:c>
    </x:row>
    <x:row r="4" ht="15" hidden="0" customHeight="1">
      <x:c r="A4" s="7" t="str">
        <x:v>Mexico/reference adjustment</x:v>
      </x:c>
      <x:c r="B4" s="62" t="n">
        <x:v>1.0228247852872936</x:v>
      </x:c>
      <x:c r="C4" s="62" t="n">
        <x:v>0.018336882354332628</x:v>
      </x:c>
      <x:c r="D4" s="62" t="n">
        <x:v>0.9864568496236874</x:v>
      </x:c>
      <x:c r="E4" s="62" t="n">
        <x:v>0.9992308869717422</x:v>
      </x:c>
      <x:c r="F4" s="62" t="n">
        <x:v>1.0103717895676598</x:v>
      </x:c>
      <x:c r="G4" s="62" t="n">
        <x:v>1.023070387155697</x:v>
      </x:c>
      <x:c r="H4" s="62" t="n">
        <x:v>1.0351472507386905</x:v>
      </x:c>
      <x:c r="I4" s="62" t="n">
        <x:v>1.0463947487620122</x:v>
      </x:c>
      <x:c r="J4" s="7" t="n">
        <x:v>1.0579503107144113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8.110000610351562" hidden="0" customWidth="1"/>
    <x:col min="4" max="4" width="11.670000076293945" hidden="0" customWidth="1"/>
    <x:col min="5" max="5" width="11.670000076293945" hidden="0" customWidth="1"/>
    <x:col min="6" max="6" width="11.670000076293945" hidden="0" customWidth="1"/>
    <x:col min="7" max="7" width="11" hidden="0" customWidth="1"/>
  </x:cols>
  <x:sheetData>
    <x:row r="1" ht="15" hidden="0" customHeight="1">
      <x:c r="A1" s="6" t="str">
        <x:v>age_group</x:v>
      </x:c>
      <x:c r="B1" s="6" t="str">
        <x:v>sex</x:v>
      </x:c>
      <x:c r="C1" s="6" t="str">
        <x:v>mexico_population_2024</x:v>
      </x:c>
      <x:c r="D1" s="6" t="str">
        <x:v>prevalence_p10</x:v>
      </x:c>
      <x:c r="E1" s="6" t="str">
        <x:v>prevalence_p50</x:v>
      </x:c>
      <x:c r="F1" s="6" t="str">
        <x:v>prevalence_p90</x:v>
      </x:c>
      <x:c r="G1" s="6" t="str">
        <x:v>cases_p50</x:v>
      </x:c>
    </x:row>
    <x:row r="2" ht="15" hidden="0" customHeight="1">
      <x:c r="A2" s="7" t="str">
        <x:v>0-17</x:v>
      </x:c>
      <x:c r="B2" s="7" t="str">
        <x:v>Female</x:v>
      </x:c>
      <x:c r="C2" s="64" t="n">
        <x:v>19049355</x:v>
      </x:c>
      <x:c r="D2" s="62" t="n">
        <x:v>0.0002775722490241764</x:v>
      </x:c>
      <x:c r="E2" s="62" t="n">
        <x:v>0.0013460847113025238</x:v>
      </x:c>
      <x:c r="F2" s="62" t="n">
        <x:v>0.006414019986880708</x:v>
      </x:c>
      <x:c r="G2" s="64" t="n">
        <x:v>25642</x:v>
      </x:c>
    </x:row>
    <x:row r="3" ht="15" hidden="0" customHeight="1">
      <x:c r="A3" s="7" t="str">
        <x:v>0-17</x:v>
      </x:c>
      <x:c r="B3" s="7" t="str">
        <x:v>Male</x:v>
      </x:c>
      <x:c r="C3" s="64" t="n">
        <x:v>19711509</x:v>
      </x:c>
      <x:c r="D3" s="62" t="n">
        <x:v>0.00024758756009860596</x:v>
      </x:c>
      <x:c r="E3" s="62" t="n">
        <x:v>0.0012033988800851175</x:v>
      </x:c>
      <x:c r="F3" s="62" t="n">
        <x:v>0.00576886860393234</x:v>
      </x:c>
      <x:c r="G3" s="64" t="n">
        <x:v>23721</x:v>
      </x:c>
    </x:row>
    <x:row r="4" ht="15" hidden="0" customHeight="1">
      <x:c r="A4" s="7" t="str">
        <x:v>18-29</x:v>
      </x:c>
      <x:c r="B4" s="7" t="str">
        <x:v>Female</x:v>
      </x:c>
      <x:c r="C4" s="64" t="n">
        <x:v>13027690</x:v>
      </x:c>
      <x:c r="D4" s="62" t="n">
        <x:v>0.003061752461266797</x:v>
      </x:c>
      <x:c r="E4" s="62" t="n">
        <x:v>0.013715720462158035</x:v>
      </x:c>
      <x:c r="F4" s="62" t="n">
        <x:v>0.05737787685819079</x:v>
      </x:c>
      <x:c r="G4" s="64" t="n">
        <x:v>178684</x:v>
      </x:c>
    </x:row>
    <x:row r="5" ht="15" hidden="0" customHeight="1">
      <x:c r="A5" s="7" t="str">
        <x:v>18-29</x:v>
      </x:c>
      <x:c r="B5" s="7" t="str">
        <x:v>Male</x:v>
      </x:c>
      <x:c r="C5" s="64" t="n">
        <x:v>13110604</x:v>
      </x:c>
      <x:c r="D5" s="62" t="n">
        <x:v>0.0027335123165923366</x:v>
      </x:c>
      <x:c r="E5" s="62" t="n">
        <x:v>0.012315277030326133</x:v>
      </x:c>
      <x:c r="F5" s="62" t="n">
        <x:v>0.05179941738322658</x:v>
      </x:c>
      <x:c r="G5" s="64" t="n">
        <x:v>161461</x:v>
      </x:c>
    </x:row>
    <x:row r="6" ht="15" hidden="0" customHeight="1">
      <x:c r="A6" s="7" t="str">
        <x:v>30-39</x:v>
      </x:c>
      <x:c r="B6" s="7" t="str">
        <x:v>Female</x:v>
      </x:c>
      <x:c r="C6" s="64" t="n">
        <x:v>10243384</x:v>
      </x:c>
      <x:c r="D6" s="62" t="n">
        <x:v>0.0037006574022584757</x:v>
      </x:c>
      <x:c r="E6" s="62" t="n">
        <x:v>0.015028440702135595</x:v>
      </x:c>
      <x:c r="F6" s="62" t="n">
        <x:v>0.05940170415904191</x:v>
      </x:c>
      <x:c r="G6" s="64" t="n">
        <x:v>153942</x:v>
      </x:c>
    </x:row>
    <x:row r="7" ht="15" hidden="0" customHeight="1">
      <x:c r="A7" s="7" t="str">
        <x:v>30-39</x:v>
      </x:c>
      <x:c r="B7" s="7" t="str">
        <x:v>Male</x:v>
      </x:c>
      <x:c r="C7" s="64" t="n">
        <x:v>9579849</x:v>
      </x:c>
      <x:c r="D7" s="62" t="n">
        <x:v>0.0032961474774756733</x:v>
      </x:c>
      <x:c r="E7" s="62" t="n">
        <x:v>0.01352188209508957</x:v>
      </x:c>
      <x:c r="F7" s="62" t="n">
        <x:v>0.05340364202407864</x:v>
      </x:c>
      <x:c r="G7" s="64" t="n">
        <x:v>129538</x:v>
      </x:c>
    </x:row>
    <x:row r="8" ht="15" hidden="0" customHeight="1">
      <x:c r="A8" s="7" t="str">
        <x:v>40-49</x:v>
      </x:c>
      <x:c r="B8" s="7" t="str">
        <x:v>Female</x:v>
      </x:c>
      <x:c r="C8" s="64" t="n">
        <x:v>8955227</x:v>
      </x:c>
      <x:c r="D8" s="62" t="n">
        <x:v>0.002833723862429278</x:v>
      </x:c>
      <x:c r="E8" s="62" t="n">
        <x:v>0.012758166850304873</x:v>
      </x:c>
      <x:c r="F8" s="62" t="n">
        <x:v>0.054852708680966464</x:v>
      </x:c>
      <x:c r="G8" s="64" t="n">
        <x:v>114252</x:v>
      </x:c>
    </x:row>
    <x:row r="9" ht="15" hidden="0" customHeight="1">
      <x:c r="A9" s="7" t="str">
        <x:v>40-49</x:v>
      </x:c>
      <x:c r="B9" s="7" t="str">
        <x:v>Male</x:v>
      </x:c>
      <x:c r="C9" s="64" t="n">
        <x:v>7631290</x:v>
      </x:c>
      <x:c r="D9" s="62" t="n">
        <x:v>0.002526041466921049</x:v>
      </x:c>
      <x:c r="E9" s="62" t="n">
        <x:v>0.011527826342993229</x:v>
      </x:c>
      <x:c r="F9" s="62" t="n">
        <x:v>0.050076406298619154</x:v>
      </x:c>
      <x:c r="G9" s="64" t="n">
        <x:v>87972</x:v>
      </x:c>
    </x:row>
    <x:row r="10" ht="15" hidden="0" customHeight="1">
      <x:c r="A10" s="7" t="str">
        <x:v>50-59</x:v>
      </x:c>
      <x:c r="B10" s="7" t="str">
        <x:v>Female</x:v>
      </x:c>
      <x:c r="C10" s="64" t="n">
        <x:v>7347771</x:v>
      </x:c>
      <x:c r="D10" s="62" t="n">
        <x:v>0.0021324722563642396</x:v>
      </x:c>
      <x:c r="E10" s="62" t="n">
        <x:v>0.00986357302469714</x:v>
      </x:c>
      <x:c r="F10" s="62" t="n">
        <x:v>0.04327286778310848</x:v>
      </x:c>
      <x:c r="G10" s="64" t="n">
        <x:v>72475</x:v>
      </x:c>
    </x:row>
    <x:row r="11" ht="15" hidden="0" customHeight="1">
      <x:c r="A11" s="7" t="str">
        <x:v>50-59</x:v>
      </x:c>
      <x:c r="B11" s="7" t="str">
        <x:v>Male</x:v>
      </x:c>
      <x:c r="C11" s="64" t="n">
        <x:v>6250910</x:v>
      </x:c>
      <x:c r="D11" s="62" t="n">
        <x:v>0.0019327281268855486</x:v>
      </x:c>
      <x:c r="E11" s="62" t="n">
        <x:v>0.008852507670069953</x:v>
      </x:c>
      <x:c r="F11" s="62" t="n">
        <x:v>0.0390158522649617</x:v>
      </x:c>
      <x:c r="G11" s="64" t="n">
        <x:v>55336</x:v>
      </x:c>
    </x:row>
    <x:row r="12" ht="15" hidden="0" customHeight="1">
      <x:c r="A12" s="7" t="str">
        <x:v>60+</x:v>
      </x:c>
      <x:c r="B12" s="7" t="str">
        <x:v>Female</x:v>
      </x:c>
      <x:c r="C12" s="64" t="n">
        <x:v>8778000</x:v>
      </x:c>
      <x:c r="D12" s="62" t="n">
        <x:v>0.0008898179598424708</x:v>
      </x:c>
      <x:c r="E12" s="62" t="n">
        <x:v>0.004174819248377995</x:v>
      </x:c>
      <x:c r="F12" s="62" t="n">
        <x:v>0.019270489745371037</x:v>
      </x:c>
      <x:c r="G12" s="64" t="n">
        <x:v>36647</x:v>
      </x:c>
    </x:row>
    <x:row r="13" ht="15" hidden="0" customHeight="1">
      <x:c r="A13" s="7" t="str">
        <x:v>60+</x:v>
      </x:c>
      <x:c r="B13" s="7" t="str">
        <x:v>Male</x:v>
      </x:c>
      <x:c r="C13" s="64" t="n">
        <x:v>7175418</x:v>
      </x:c>
      <x:c r="D13" s="62" t="n">
        <x:v>0.0007960015264337102</x:v>
      </x:c>
      <x:c r="E13" s="62" t="n">
        <x:v>0.0037419500438349907</x:v>
      </x:c>
      <x:c r="F13" s="62" t="n">
        <x:v>0.017289027168791445</x:v>
      </x:c>
      <x:c r="G13" s="64" t="n">
        <x:v>26850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440000534057617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</x:cols>
  <x:sheetData>
    <x:row r="1" ht="15" hidden="0" customHeight="1">
      <x:c r="A1" s="6" t="str">
        <x:v>parameter</x:v>
      </x:c>
      <x:c r="B1" s="6" t="str">
        <x:v>prior_center</x:v>
      </x:c>
      <x:c r="C1" s="6" t="str">
        <x:v>p10</x:v>
      </x:c>
      <x:c r="D1" s="6" t="str">
        <x:v>p50</x:v>
      </x:c>
      <x:c r="E1" s="6" t="str">
        <x:v>p90</x:v>
      </x:c>
    </x:row>
    <x:row r="2" ht="15" hidden="0" customHeight="1">
      <x:c r="A2" s="7" t="str">
        <x:v>Age OR vs 30-39: 0-17</x:v>
      </x:c>
      <x:c r="B2" s="63" t="n">
        <x:v>0.08707236318005837</x:v>
      </x:c>
      <x:c r="C2" s="63" t="n">
        <x:v>0.0438955312609795</x:v>
      </x:c>
      <x:c r="D2" s="63" t="n">
        <x:v>0.08808960668437214</x:v>
      </x:c>
      <x:c r="E2" s="63" t="n">
        <x:v>0.17635179328593692</x:v>
      </x:c>
    </x:row>
    <x:row r="3" ht="15" hidden="0" customHeight="1">
      <x:c r="A3" s="7" t="str">
        <x:v>Age OR vs 30-39: 18-29</x:v>
      </x:c>
      <x:c r="B3" s="63" t="n">
        <x:v>0.871900874567666</x:v>
      </x:c>
      <x:c r="C3" s="63" t="n">
        <x:v>0.45189928820335873</x:v>
      </x:c>
      <x:c r="D3" s="63" t="n">
        <x:v>0.9083548750546847</x:v>
      </x:c>
      <x:c r="E3" s="63" t="n">
        <x:v>1.7850097855937053</x:v>
      </x:c>
    </x:row>
    <x:row r="4" ht="15" hidden="0" customHeight="1">
      <x:c r="A4" s="7" t="str">
        <x:v>Age OR vs 30-39: 30-39</x:v>
      </x:c>
      <x:c r="B4" s="63" t="n">
        <x:v>1</x:v>
      </x:c>
      <x:c r="C4" s="63" t="n">
        <x:v>1</x:v>
      </x:c>
      <x:c r="D4" s="63" t="n">
        <x:v>1</x:v>
      </x:c>
      <x:c r="E4" s="63" t="n">
        <x:v>1</x:v>
      </x:c>
    </x:row>
    <x:row r="5" ht="15" hidden="0" customHeight="1">
      <x:c r="A5" s="7" t="str">
        <x:v>Age OR vs 30-39: 40-49</x:v>
      </x:c>
      <x:c r="B5" s="63" t="n">
        <x:v>0.871900874567666</x:v>
      </x:c>
      <x:c r="C5" s="63" t="n">
        <x:v>0.41637795426247637</x:v>
      </x:c>
      <x:c r="D5" s="63" t="n">
        <x:v>0.8504300743046747</x:v>
      </x:c>
      <x:c r="E5" s="63" t="n">
        <x:v>1.6988724722161774</x:v>
      </x:c>
    </x:row>
    <x:row r="6" ht="15" hidden="0" customHeight="1">
      <x:c r="A6" s="7" t="str">
        <x:v>Age OR vs 30-39: 50-59</x:v>
      </x:c>
      <x:c r="B6" s="63" t="n">
        <x:v>0.6914933421934897</x:v>
      </x:c>
      <x:c r="C6" s="63" t="n">
        <x:v>0.32897002877205395</x:v>
      </x:c>
      <x:c r="D6" s="63" t="n">
        <x:v>0.647478787877743</x:v>
      </x:c>
      <x:c r="E6" s="63" t="n">
        <x:v>1.2804751743320613</x:v>
      </x:c>
    </x:row>
    <x:row r="7" ht="15" hidden="0" customHeight="1">
      <x:c r="A7" s="7" t="str">
        <x:v>Age OR vs 30-39: 60+</x:v>
      </x:c>
      <x:c r="B7" s="63" t="n">
        <x:v>0.2845331421698958</x:v>
      </x:c>
      <x:c r="C7" s="63" t="n">
        <x:v>0.1405848386105735</x:v>
      </x:c>
      <x:c r="D7" s="63" t="n">
        <x:v>0.27414672916435245</x:v>
      </x:c>
      <x:c r="E7" s="63" t="n">
        <x:v>0.5344251649011614</x:v>
      </x:c>
    </x:row>
    <x:row r="8" ht="15" hidden="0" customHeight="1">
      <x:c r="A8" s="7" t="str">
        <x:v>Female OR vs male</x:v>
      </x:c>
      <x:c r="B8" s="63" t="n">
        <x:v>1.2</x:v>
      </x:c>
      <x:c r="C8" s="63" t="n">
        <x:v>0.6304282143431352</x:v>
      </x:c>
      <x:c r="D8" s="63" t="n">
        <x:v>1.1218260735683039</x:v>
      </x:c>
      <x:c r="E8" s="63" t="n">
        <x:v>1.983156594630881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3.220000267028809" hidden="0" customWidth="1"/>
  </x:cols>
  <x:sheetData>
    <x:row r="1" ht="15" hidden="0" customHeight="1">
      <x:c r="A1" s="6" t="str">
        <x:v>parameter</x:v>
      </x:c>
      <x:c r="B1" s="6" t="str">
        <x:v>rhat</x:v>
      </x:c>
      <x:c r="C1" s="6" t="str">
        <x:v>map</x:v>
      </x:c>
      <x:c r="D1" s="6" t="str">
        <x:v>max_rhat</x:v>
      </x:c>
      <x:c r="E1" s="6" t="str">
        <x:v>mean_acceptance</x:v>
      </x:c>
    </x:row>
    <x:row r="2" ht="15" hidden="0" customHeight="1">
      <x:c r="A2" s="7" t="str">
        <x:v>alpha</x:v>
      </x:c>
      <x:c r="B2" s="7" t="n">
        <x:v>1.00713436044256</x:v>
      </x:c>
      <x:c r="C2" s="7" t="n">
        <x:v>-4.205644862599594</x:v>
      </x:c>
      <x:c r="D2" s="7" t="n">
        <x:v>1.0178860734332433</x:v>
      </x:c>
      <x:c r="E2" s="7" t="n">
        <x:v>0.26725000000000004</x:v>
      </x:c>
    </x:row>
    <x:row r="3" ht="15" hidden="0" customHeight="1">
      <x:c r="A3" s="7" t="str">
        <x:v>age_0-17</x:v>
      </x:c>
      <x:c r="B3" s="7" t="n">
        <x:v>1.0025633094269746</x:v>
      </x:c>
      <x:c r="C3" s="7" t="n">
        <x:v>-2.4347182151412428</x:v>
      </x:c>
      <x:c r="D3" s="7" t="n">
        <x:v>1.0178860734332433</x:v>
      </x:c>
      <x:c r="E3" s="7" t="n">
        <x:v>0.26725000000000004</x:v>
      </x:c>
    </x:row>
    <x:row r="4" ht="15" hidden="0" customHeight="1">
      <x:c r="A4" s="7" t="str">
        <x:v>age_18-29</x:v>
      </x:c>
      <x:c r="B4" s="7" t="n">
        <x:v>1.0012787172705142</x:v>
      </x:c>
      <x:c r="C4" s="7" t="n">
        <x:v>-0.10790882579021124</x:v>
      </x:c>
      <x:c r="D4" s="7" t="n">
        <x:v>1.0178860734332433</x:v>
      </x:c>
      <x:c r="E4" s="7" t="n">
        <x:v>0.26725000000000004</x:v>
      </x:c>
    </x:row>
    <x:row r="5" ht="15" hidden="0" customHeight="1">
      <x:c r="A5" s="7" t="str">
        <x:v>age_40-49</x:v>
      </x:c>
      <x:c r="B5" s="7" t="n">
        <x:v>1.000735701341364</x:v>
      </x:c>
      <x:c r="C5" s="7" t="n">
        <x:v>-0.15984373516651965</x:v>
      </x:c>
      <x:c r="D5" s="7" t="n">
        <x:v>1.0178860734332433</x:v>
      </x:c>
      <x:c r="E5" s="7" t="n">
        <x:v>0.26725000000000004</x:v>
      </x:c>
    </x:row>
    <x:row r="6" ht="15" hidden="0" customHeight="1">
      <x:c r="A6" s="7" t="str">
        <x:v>age_50-59</x:v>
      </x:c>
      <x:c r="B6" s="7" t="n">
        <x:v>1.0022671433791923</x:v>
      </x:c>
      <x:c r="C6" s="7" t="n">
        <x:v>-0.416294417727164</x:v>
      </x:c>
      <x:c r="D6" s="7" t="n">
        <x:v>1.0178860734332433</x:v>
      </x:c>
      <x:c r="E6" s="7" t="n">
        <x:v>0.26725000000000004</x:v>
      </x:c>
    </x:row>
    <x:row r="7" ht="15" hidden="0" customHeight="1">
      <x:c r="A7" s="7" t="str">
        <x:v>age_60+</x:v>
      </x:c>
      <x:c r="B7" s="7" t="n">
        <x:v>1.0005332663916544</x:v>
      </x:c>
      <x:c r="C7" s="7" t="n">
        <x:v>-1.2861740847643761</x:v>
      </x:c>
      <x:c r="D7" s="7" t="n">
        <x:v>1.0178860734332433</x:v>
      </x:c>
      <x:c r="E7" s="7" t="n">
        <x:v>0.26725000000000004</x:v>
      </x:c>
    </x:row>
    <x:row r="8" ht="15" hidden="0" customHeight="1">
      <x:c r="A8" s="7" t="str">
        <x:v>female</x:v>
      </x:c>
      <x:c r="B8" s="7" t="n">
        <x:v>1.0013884553553931</x:v>
      </x:c>
      <x:c r="C8" s="7" t="n">
        <x:v>0.10559457429477928</x:v>
      </x:c>
      <x:c r="D8" s="7" t="n">
        <x:v>1.0178860734332433</x:v>
      </x:c>
      <x:c r="E8" s="7" t="n">
        <x:v>0.26725000000000004</x:v>
      </x:c>
    </x:row>
    <x:row r="9" ht="15" hidden="0" customHeight="1">
      <x:c r="A9" s="7" t="str">
        <x:v>log_tau</x:v>
      </x:c>
      <x:c r="B9" s="7" t="n">
        <x:v>1.0178860734332433</x:v>
      </x:c>
      <x:c r="C9" s="7" t="n">
        <x:v>-0.1178816892915595</x:v>
      </x:c>
      <x:c r="D9" s="7" t="n">
        <x:v>1.0178860734332433</x:v>
      </x:c>
      <x:c r="E9" s="7" t="n">
        <x:v>0.26725000000000004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329999923706055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6.559999465942383" hidden="0" customWidth="1"/>
    <x:col min="8" max="8" width="33" hidden="0" customWidth="1"/>
    <x:col min="9" max="9" width="19" hidden="0" customWidth="1"/>
    <x:col min="10" max="10" width="34" hidden="0" customWidth="1"/>
  </x:cols>
  <x:sheetData>
    <x:row r="1" ht="15" hidden="0" customHeight="1">
      <x:c r="A1" s="6" t="str">
        <x:v>country</x:v>
      </x:c>
      <x:c r="B1" s="6" t="str">
        <x:v>iso3</x:v>
      </x:c>
      <x:c r="C1" s="6" t="str">
        <x:v>year</x:v>
      </x:c>
      <x:c r="D1" s="6" t="str">
        <x:v>age_group</x:v>
      </x:c>
      <x:c r="E1" s="6" t="str">
        <x:v>sex</x:v>
      </x:c>
      <x:c r="F1" s="6" t="str">
        <x:v>population</x:v>
      </x:c>
      <x:c r="G1" s="6" t="str">
        <x:v>weight_within_country</x:v>
      </x:c>
      <x:c r="H1" s="6" t="str">
        <x:v>source</x:v>
      </x:c>
      <x:c r="I1" s="6" t="str">
        <x:v>source_url</x:v>
      </x:c>
      <x:c r="J1" s="6" t="str">
        <x:v>aggregation_note</x:v>
      </x:c>
    </x:row>
    <x:row r="2" ht="24" hidden="0" customHeight="1">
      <x:c r="A2" s="7" t="str">
        <x:v>Algeria</x:v>
      </x:c>
      <x:c r="B2" s="7" t="str">
        <x:v>DZA</x:v>
      </x:c>
      <x:c r="C2" s="7" t="n">
        <x:v>2024</x:v>
      </x:c>
      <x:c r="D2" s="7" t="str">
        <x:v>0-17</x:v>
      </x:c>
      <x:c r="E2" s="7" t="str">
        <x:v>Female</x:v>
      </x:c>
      <x:c r="F2" s="7" t="n">
        <x:v>8025865.6</x:v>
      </x:c>
      <x:c r="G2" s="7" t="n">
        <x:v>0.17144044081565832</x:v>
      </x:c>
      <x:c r="H2" s="7" t="str">
        <x:v>World Bank API / UN World Population Prospects</x:v>
      </x:c>
      <x:c r="I2" s="7" t="str">
        <x:v>https://api.worldbank.org/v2/</x:v>
      </x:c>
      <x:c r="J2" s="7" t="str">
        <x:v>Ages 15-19 split 60% to 0-17 and 40% to 18-29; age 80+ is sex total minus ages 0-79</x:v>
      </x:c>
    </x:row>
    <x:row r="3" ht="24" hidden="0" customHeight="1">
      <x:c r="A3" s="7" t="str">
        <x:v>Algeria</x:v>
      </x:c>
      <x:c r="B3" s="7" t="str">
        <x:v>DZA</x:v>
      </x:c>
      <x:c r="C3" s="7" t="n">
        <x:v>2024</x:v>
      </x:c>
      <x:c r="D3" s="7" t="str">
        <x:v>18-29</x:v>
      </x:c>
      <x:c r="E3" s="7" t="str">
        <x:v>Female</x:v>
      </x:c>
      <x:c r="F3" s="7" t="n">
        <x:v>3618497.4</x:v>
      </x:c>
      <x:c r="G3" s="7" t="n">
        <x:v>0.07729468947826805</x:v>
      </x:c>
      <x:c r="H3" s="7" t="str">
        <x:v>World Bank API / UN World Population Prospects</x:v>
      </x:c>
      <x:c r="I3" s="7" t="str">
        <x:v>https://api.worldbank.org/v2/</x:v>
      </x:c>
      <x:c r="J3" s="7" t="str">
        <x:v>Ages 15-19 split 60% to 0-17 and 40% to 18-29; age 80+ is sex total minus ages 0-79</x:v>
      </x:c>
    </x:row>
    <x:row r="4" ht="24" hidden="0" customHeight="1">
      <x:c r="A4" s="7" t="str">
        <x:v>Algeria</x:v>
      </x:c>
      <x:c r="B4" s="7" t="str">
        <x:v>DZA</x:v>
      </x:c>
      <x:c r="C4" s="7" t="n">
        <x:v>2024</x:v>
      </x:c>
      <x:c r="D4" s="7" t="str">
        <x:v>30-39</x:v>
      </x:c>
      <x:c r="E4" s="7" t="str">
        <x:v>Female</x:v>
      </x:c>
      <x:c r="F4" s="7" t="n">
        <x:v>3496855</x:v>
      </x:c>
      <x:c r="G4" s="7" t="n">
        <x:v>0.07469628729746469</x:v>
      </x:c>
      <x:c r="H4" s="7" t="str">
        <x:v>World Bank API / UN World Population Prospects</x:v>
      </x:c>
      <x:c r="I4" s="7" t="str">
        <x:v>https://api.worldbank.org/v2/</x:v>
      </x:c>
      <x:c r="J4" s="7" t="str">
        <x:v>Ages 15-19 split 60% to 0-17 and 40% to 18-29; age 80+ is sex total minus ages 0-79</x:v>
      </x:c>
    </x:row>
    <x:row r="5" ht="24" hidden="0" customHeight="1">
      <x:c r="A5" s="7" t="str">
        <x:v>Algeria</x:v>
      </x:c>
      <x:c r="B5" s="7" t="str">
        <x:v>DZA</x:v>
      </x:c>
      <x:c r="C5" s="7" t="n">
        <x:v>2024</x:v>
      </x:c>
      <x:c r="D5" s="7" t="str">
        <x:v>40-49</x:v>
      </x:c>
      <x:c r="E5" s="7" t="str">
        <x:v>Female</x:v>
      </x:c>
      <x:c r="F5" s="7" t="n">
        <x:v>3176007</x:v>
      </x:c>
      <x:c r="G5" s="7" t="n">
        <x:v>0.06784265613837548</x:v>
      </x:c>
      <x:c r="H5" s="7" t="str">
        <x:v>World Bank API / UN World Population Prospects</x:v>
      </x:c>
      <x:c r="I5" s="7" t="str">
        <x:v>https://api.worldbank.org/v2/</x:v>
      </x:c>
      <x:c r="J5" s="7" t="str">
        <x:v>Ages 15-19 split 60% to 0-17 and 40% to 18-29; age 80+ is sex total minus ages 0-79</x:v>
      </x:c>
    </x:row>
    <x:row r="6" ht="24" hidden="0" customHeight="1">
      <x:c r="A6" s="7" t="str">
        <x:v>Algeria</x:v>
      </x:c>
      <x:c r="B6" s="7" t="str">
        <x:v>DZA</x:v>
      </x:c>
      <x:c r="C6" s="7" t="n">
        <x:v>2024</x:v>
      </x:c>
      <x:c r="D6" s="7" t="str">
        <x:v>50-59</x:v>
      </x:c>
      <x:c r="E6" s="7" t="str">
        <x:v>Female</x:v>
      </x:c>
      <x:c r="F6" s="7" t="n">
        <x:v>2239688</x:v>
      </x:c>
      <x:c r="G6" s="7" t="n">
        <x:v>0.04784195464343935</x:v>
      </x:c>
      <x:c r="H6" s="7" t="str">
        <x:v>World Bank API / UN World Population Prospects</x:v>
      </x:c>
      <x:c r="I6" s="7" t="str">
        <x:v>https://api.worldbank.org/v2/</x:v>
      </x:c>
      <x:c r="J6" s="7" t="str">
        <x:v>Ages 15-19 split 60% to 0-17 and 40% to 18-29; age 80+ is sex total minus ages 0-79</x:v>
      </x:c>
    </x:row>
    <x:row r="7" ht="24" hidden="0" customHeight="1">
      <x:c r="A7" s="7" t="str">
        <x:v>Algeria</x:v>
      </x:c>
      <x:c r="B7" s="7" t="str">
        <x:v>DZA</x:v>
      </x:c>
      <x:c r="C7" s="7" t="n">
        <x:v>2024</x:v>
      </x:c>
      <x:c r="D7" s="7" t="str">
        <x:v>60+</x:v>
      </x:c>
      <x:c r="E7" s="7" t="str">
        <x:v>Female</x:v>
      </x:c>
      <x:c r="F7" s="7" t="n">
        <x:v>2383011</x:v>
      </x:c>
      <x:c r="G7" s="7" t="n">
        <x:v>0.05090347592022507</x:v>
      </x:c>
      <x:c r="H7" s="7" t="str">
        <x:v>World Bank API / UN World Population Prospects</x:v>
      </x:c>
      <x:c r="I7" s="7" t="str">
        <x:v>https://api.worldbank.org/v2/</x:v>
      </x:c>
      <x:c r="J7" s="7" t="str">
        <x:v>Ages 15-19 split 60% to 0-17 and 40% to 18-29; age 80+ is sex total minus ages 0-79</x:v>
      </x:c>
    </x:row>
    <x:row r="8" ht="24" hidden="0" customHeight="1">
      <x:c r="A8" s="7" t="str">
        <x:v>Algeria</x:v>
      </x:c>
      <x:c r="B8" s="7" t="str">
        <x:v>DZA</x:v>
      </x:c>
      <x:c r="C8" s="7" t="n">
        <x:v>2024</x:v>
      </x:c>
      <x:c r="D8" s="7" t="str">
        <x:v>0-17</x:v>
      </x:c>
      <x:c r="E8" s="7" t="str">
        <x:v>Male</x:v>
      </x:c>
      <x:c r="F8" s="7" t="n">
        <x:v>8367449.8</x:v>
      </x:c>
      <x:c r="G8" s="7" t="n">
        <x:v>0.17873701775106876</x:v>
      </x:c>
      <x:c r="H8" s="7" t="str">
        <x:v>World Bank API / UN World Population Prospects</x:v>
      </x:c>
      <x:c r="I8" s="7" t="str">
        <x:v>https://api.worldbank.org/v2/</x:v>
      </x:c>
      <x:c r="J8" s="7" t="str">
        <x:v>Ages 15-19 split 60% to 0-17 and 40% to 18-29; age 80+ is sex total minus ages 0-79</x:v>
      </x:c>
    </x:row>
    <x:row r="9" ht="24" hidden="0" customHeight="1">
      <x:c r="A9" s="7" t="str">
        <x:v>Algeria</x:v>
      </x:c>
      <x:c r="B9" s="7" t="str">
        <x:v>DZA</x:v>
      </x:c>
      <x:c r="C9" s="7" t="n">
        <x:v>2024</x:v>
      </x:c>
      <x:c r="D9" s="7" t="str">
        <x:v>18-29</x:v>
      </x:c>
      <x:c r="E9" s="7" t="str">
        <x:v>Male</x:v>
      </x:c>
      <x:c r="F9" s="7" t="n">
        <x:v>3791332.2</x:v>
      </x:c>
      <x:c r="G9" s="7" t="n">
        <x:v>0.0809866120417715</x:v>
      </x:c>
      <x:c r="H9" s="7" t="str">
        <x:v>World Bank API / UN World Population Prospects</x:v>
      </x:c>
      <x:c r="I9" s="7" t="str">
        <x:v>https://api.worldbank.org/v2/</x:v>
      </x:c>
      <x:c r="J9" s="7" t="str">
        <x:v>Ages 15-19 split 60% to 0-17 and 40% to 18-29; age 80+ is sex total minus ages 0-79</x:v>
      </x:c>
    </x:row>
    <x:row r="10" ht="24" hidden="0" customHeight="1">
      <x:c r="A10" s="7" t="str">
        <x:v>Algeria</x:v>
      </x:c>
      <x:c r="B10" s="7" t="str">
        <x:v>DZA</x:v>
      </x:c>
      <x:c r="C10" s="7" t="n">
        <x:v>2024</x:v>
      </x:c>
      <x:c r="D10" s="7" t="str">
        <x:v>30-39</x:v>
      </x:c>
      <x:c r="E10" s="7" t="str">
        <x:v>Male</x:v>
      </x:c>
      <x:c r="F10" s="7" t="n">
        <x:v>3707225</x:v>
      </x:c>
      <x:c r="G10" s="7" t="n">
        <x:v>0.07918999892084275</x:v>
      </x:c>
      <x:c r="H10" s="7" t="str">
        <x:v>World Bank API / UN World Population Prospects</x:v>
      </x:c>
      <x:c r="I10" s="7" t="str">
        <x:v>https://api.worldbank.org/v2/</x:v>
      </x:c>
      <x:c r="J10" s="7" t="str">
        <x:v>Ages 15-19 split 60% to 0-17 and 40% to 18-29; age 80+ is sex total minus ages 0-79</x:v>
      </x:c>
    </x:row>
    <x:row r="11" ht="24" hidden="0" customHeight="1">
      <x:c r="A11" s="7" t="str">
        <x:v>Algeria</x:v>
      </x:c>
      <x:c r="B11" s="7" t="str">
        <x:v>DZA</x:v>
      </x:c>
      <x:c r="C11" s="7" t="n">
        <x:v>2024</x:v>
      </x:c>
      <x:c r="D11" s="7" t="str">
        <x:v>40-49</x:v>
      </x:c>
      <x:c r="E11" s="7" t="str">
        <x:v>Male</x:v>
      </x:c>
      <x:c r="F11" s="7" t="n">
        <x:v>3356890</x:v>
      </x:c>
      <x:c r="G11" s="7" t="n">
        <x:v>0.07170649622760632</x:v>
      </x:c>
      <x:c r="H11" s="7" t="str">
        <x:v>World Bank API / UN World Population Prospects</x:v>
      </x:c>
      <x:c r="I11" s="7" t="str">
        <x:v>https://api.worldbank.org/v2/</x:v>
      </x:c>
      <x:c r="J11" s="7" t="str">
        <x:v>Ages 15-19 split 60% to 0-17 and 40% to 18-29; age 80+ is sex total minus ages 0-79</x:v>
      </x:c>
    </x:row>
    <x:row r="12" ht="24" hidden="0" customHeight="1">
      <x:c r="A12" s="7" t="str">
        <x:v>Algeria</x:v>
      </x:c>
      <x:c r="B12" s="7" t="str">
        <x:v>DZA</x:v>
      </x:c>
      <x:c r="C12" s="7" t="n">
        <x:v>2024</x:v>
      </x:c>
      <x:c r="D12" s="7" t="str">
        <x:v>50-59</x:v>
      </x:c>
      <x:c r="E12" s="7" t="str">
        <x:v>Male</x:v>
      </x:c>
      <x:c r="F12" s="7" t="n">
        <x:v>2340888</x:v>
      </x:c>
      <x:c r="G12" s="7" t="n">
        <x:v>0.050003686907002874</x:v>
      </x:c>
      <x:c r="H12" s="7" t="str">
        <x:v>World Bank API / UN World Population Prospects</x:v>
      </x:c>
      <x:c r="I12" s="7" t="str">
        <x:v>https://api.worldbank.org/v2/</x:v>
      </x:c>
      <x:c r="J12" s="7" t="str">
        <x:v>Ages 15-19 split 60% to 0-17 and 40% to 18-29; age 80+ is sex total minus ages 0-79</x:v>
      </x:c>
    </x:row>
    <x:row r="13" ht="24" hidden="0" customHeight="1">
      <x:c r="A13" s="7" t="str">
        <x:v>Algeria</x:v>
      </x:c>
      <x:c r="B13" s="7" t="str">
        <x:v>DZA</x:v>
      </x:c>
      <x:c r="C13" s="7" t="n">
        <x:v>2024</x:v>
      </x:c>
      <x:c r="D13" s="7" t="str">
        <x:v>60+</x:v>
      </x:c>
      <x:c r="E13" s="7" t="str">
        <x:v>Male</x:v>
      </x:c>
      <x:c r="F13" s="7" t="n">
        <x:v>2310599</x:v>
      </x:c>
      <x:c r="G13" s="7" t="n">
        <x:v>0.04935668385827683</x:v>
      </x:c>
      <x:c r="H13" s="7" t="str">
        <x:v>World Bank API / UN World Population Prospects</x:v>
      </x:c>
      <x:c r="I13" s="7" t="str">
        <x:v>https://api.worldbank.org/v2/</x:v>
      </x:c>
      <x:c r="J13" s="7" t="str">
        <x:v>Ages 15-19 split 60% to 0-17 and 40% to 18-29; age 80+ is sex total minus ages 0-79</x:v>
      </x:c>
    </x:row>
    <x:row r="14" ht="24" hidden="0" customHeight="1">
      <x:c r="A14" s="7" t="str">
        <x:v>Australia</x:v>
      </x:c>
      <x:c r="B14" s="7" t="str">
        <x:v>AUS</x:v>
      </x:c>
      <x:c r="C14" s="7" t="n">
        <x:v>2024</x:v>
      </x:c>
      <x:c r="D14" s="7" t="str">
        <x:v>0-17</x:v>
      </x:c>
      <x:c r="E14" s="7" t="str">
        <x:v>Female</x:v>
      </x:c>
      <x:c r="F14" s="7" t="n">
        <x:v>2840836.4</x:v>
      </x:c>
      <x:c r="G14" s="7" t="n">
        <x:v>0.10446445992367662</x:v>
      </x:c>
      <x:c r="H14" s="7" t="str">
        <x:v>World Bank API / UN World Population Prospects</x:v>
      </x:c>
      <x:c r="I14" s="7" t="str">
        <x:v>https://api.worldbank.org/v2/</x:v>
      </x:c>
      <x:c r="J14" s="7" t="str">
        <x:v>Ages 15-19 split 60% to 0-17 and 40% to 18-29; age 80+ is sex total minus ages 0-79</x:v>
      </x:c>
    </x:row>
    <x:row r="15" ht="24" hidden="0" customHeight="1">
      <x:c r="A15" s="7" t="str">
        <x:v>Australia</x:v>
      </x:c>
      <x:c r="B15" s="7" t="str">
        <x:v>AUS</x:v>
      </x:c>
      <x:c r="C15" s="7" t="n">
        <x:v>2024</x:v>
      </x:c>
      <x:c r="D15" s="7" t="str">
        <x:v>18-29</x:v>
      </x:c>
      <x:c r="E15" s="7" t="str">
        <x:v>Female</x:v>
      </x:c>
      <x:c r="F15" s="7" t="n">
        <x:v>2028143.6</x:v>
      </x:c>
      <x:c r="G15" s="7" t="n">
        <x:v>0.07457977017672021</x:v>
      </x:c>
      <x:c r="H15" s="7" t="str">
        <x:v>World Bank API / UN World Population Prospects</x:v>
      </x:c>
      <x:c r="I15" s="7" t="str">
        <x:v>https://api.worldbank.org/v2/</x:v>
      </x:c>
      <x:c r="J15" s="7" t="str">
        <x:v>Ages 15-19 split 60% to 0-17 and 40% to 18-29; age 80+ is sex total minus ages 0-79</x:v>
      </x:c>
    </x:row>
    <x:row r="16" ht="24" hidden="0" customHeight="1">
      <x:c r="A16" s="7" t="str">
        <x:v>Australia</x:v>
      </x:c>
      <x:c r="B16" s="7" t="str">
        <x:v>AUS</x:v>
      </x:c>
      <x:c r="C16" s="7" t="n">
        <x:v>2024</x:v>
      </x:c>
      <x:c r="D16" s="7" t="str">
        <x:v>30-39</x:v>
      </x:c>
      <x:c r="E16" s="7" t="str">
        <x:v>Female</x:v>
      </x:c>
      <x:c r="F16" s="7" t="n">
        <x:v>2000877</x:v>
      </x:c>
      <x:c r="G16" s="7" t="n">
        <x:v>0.07357711101515958</x:v>
      </x:c>
      <x:c r="H16" s="7" t="str">
        <x:v>World Bank API / UN World Population Prospects</x:v>
      </x:c>
      <x:c r="I16" s="7" t="str">
        <x:v>https://api.worldbank.org/v2/</x:v>
      </x:c>
      <x:c r="J16" s="7" t="str">
        <x:v>Ages 15-19 split 60% to 0-17 and 40% to 18-29; age 80+ is sex total minus ages 0-79</x:v>
      </x:c>
    </x:row>
    <x:row r="17" ht="24" hidden="0" customHeight="1">
      <x:c r="A17" s="7" t="str">
        <x:v>Australia</x:v>
      </x:c>
      <x:c r="B17" s="7" t="str">
        <x:v>AUS</x:v>
      </x:c>
      <x:c r="C17" s="7" t="n">
        <x:v>2024</x:v>
      </x:c>
      <x:c r="D17" s="7" t="str">
        <x:v>40-49</x:v>
      </x:c>
      <x:c r="E17" s="7" t="str">
        <x:v>Female</x:v>
      </x:c>
      <x:c r="F17" s="7" t="n">
        <x:v>1779705</x:v>
      </x:c>
      <x:c r="G17" s="7" t="n">
        <x:v>0.06544407895099728</x:v>
      </x:c>
      <x:c r="H17" s="7" t="str">
        <x:v>World Bank API / UN World Population Prospects</x:v>
      </x:c>
      <x:c r="I17" s="7" t="str">
        <x:v>https://api.worldbank.org/v2/</x:v>
      </x:c>
      <x:c r="J17" s="7" t="str">
        <x:v>Ages 15-19 split 60% to 0-17 and 40% to 18-29; age 80+ is sex total minus ages 0-79</x:v>
      </x:c>
    </x:row>
    <x:row r="18" ht="24" hidden="0" customHeight="1">
      <x:c r="A18" s="7" t="str">
        <x:v>Australia</x:v>
      </x:c>
      <x:c r="B18" s="7" t="str">
        <x:v>AUS</x:v>
      </x:c>
      <x:c r="C18" s="7" t="n">
        <x:v>2024</x:v>
      </x:c>
      <x:c r="D18" s="7" t="str">
        <x:v>50-59</x:v>
      </x:c>
      <x:c r="E18" s="7" t="str">
        <x:v>Female</x:v>
      </x:c>
      <x:c r="F18" s="7" t="n">
        <x:v>1677190</x:v>
      </x:c>
      <x:c r="G18" s="7" t="n">
        <x:v>0.06167435320787609</x:v>
      </x:c>
      <x:c r="H18" s="7" t="str">
        <x:v>World Bank API / UN World Population Prospects</x:v>
      </x:c>
      <x:c r="I18" s="7" t="str">
        <x:v>https://api.worldbank.org/v2/</x:v>
      </x:c>
      <x:c r="J18" s="7" t="str">
        <x:v>Ages 15-19 split 60% to 0-17 and 40% to 18-29; age 80+ is sex total minus ages 0-79</x:v>
      </x:c>
    </x:row>
    <x:row r="19" ht="24" hidden="0" customHeight="1">
      <x:c r="A19" s="7" t="str">
        <x:v>Australia</x:v>
      </x:c>
      <x:c r="B19" s="7" t="str">
        <x:v>AUS</x:v>
      </x:c>
      <x:c r="C19" s="7" t="n">
        <x:v>2024</x:v>
      </x:c>
      <x:c r="D19" s="7" t="str">
        <x:v>60+</x:v>
      </x:c>
      <x:c r="E19" s="7" t="str">
        <x:v>Female</x:v>
      </x:c>
      <x:c r="F19" s="7" t="n">
        <x:v>3374171</x:v>
      </x:c>
      <x:c r="G19" s="7" t="n">
        <x:v>0.1240764695936492</x:v>
      </x:c>
      <x:c r="H19" s="7" t="str">
        <x:v>World Bank API / UN World Population Prospects</x:v>
      </x:c>
      <x:c r="I19" s="7" t="str">
        <x:v>https://api.worldbank.org/v2/</x:v>
      </x:c>
      <x:c r="J19" s="7" t="str">
        <x:v>Ages 15-19 split 60% to 0-17 and 40% to 18-29; age 80+ is sex total minus ages 0-79</x:v>
      </x:c>
    </x:row>
    <x:row r="20" ht="24" hidden="0" customHeight="1">
      <x:c r="A20" s="7" t="str">
        <x:v>Australia</x:v>
      </x:c>
      <x:c r="B20" s="7" t="str">
        <x:v>AUS</x:v>
      </x:c>
      <x:c r="C20" s="7" t="n">
        <x:v>2024</x:v>
      </x:c>
      <x:c r="D20" s="7" t="str">
        <x:v>0-17</x:v>
      </x:c>
      <x:c r="E20" s="7" t="str">
        <x:v>Male</x:v>
      </x:c>
      <x:c r="F20" s="7" t="n">
        <x:v>3003009.4</x:v>
      </x:c>
      <x:c r="G20" s="7" t="n">
        <x:v>0.11042795534326585</x:v>
      </x:c>
      <x:c r="H20" s="7" t="str">
        <x:v>World Bank API / UN World Population Prospects</x:v>
      </x:c>
      <x:c r="I20" s="7" t="str">
        <x:v>https://api.worldbank.org/v2/</x:v>
      </x:c>
      <x:c r="J20" s="7" t="str">
        <x:v>Ages 15-19 split 60% to 0-17 and 40% to 18-29; age 80+ is sex total minus ages 0-79</x:v>
      </x:c>
    </x:row>
    <x:row r="21" ht="24" hidden="0" customHeight="1">
      <x:c r="A21" s="7" t="str">
        <x:v>Australia</x:v>
      </x:c>
      <x:c r="B21" s="7" t="str">
        <x:v>AUS</x:v>
      </x:c>
      <x:c r="C21" s="7" t="n">
        <x:v>2024</x:v>
      </x:c>
      <x:c r="D21" s="7" t="str">
        <x:v>18-29</x:v>
      </x:c>
      <x:c r="E21" s="7" t="str">
        <x:v>Male</x:v>
      </x:c>
      <x:c r="F21" s="7" t="n">
        <x:v>2136272.6</x:v>
      </x:c>
      <x:c r="G21" s="7" t="n">
        <x:v>0.07855593634633394</x:v>
      </x:c>
      <x:c r="H21" s="7" t="str">
        <x:v>World Bank API / UN World Population Prospects</x:v>
      </x:c>
      <x:c r="I21" s="7" t="str">
        <x:v>https://api.worldbank.org/v2/</x:v>
      </x:c>
      <x:c r="J21" s="7" t="str">
        <x:v>Ages 15-19 split 60% to 0-17 and 40% to 18-29; age 80+ is sex total minus ages 0-79</x:v>
      </x:c>
    </x:row>
    <x:row r="22" ht="24" hidden="0" customHeight="1">
      <x:c r="A22" s="7" t="str">
        <x:v>Australia</x:v>
      </x:c>
      <x:c r="B22" s="7" t="str">
        <x:v>AUS</x:v>
      </x:c>
      <x:c r="C22" s="7" t="n">
        <x:v>2024</x:v>
      </x:c>
      <x:c r="D22" s="7" t="str">
        <x:v>30-39</x:v>
      </x:c>
      <x:c r="E22" s="7" t="str">
        <x:v>Male</x:v>
      </x:c>
      <x:c r="F22" s="7" t="n">
        <x:v>1978957</x:v>
      </x:c>
      <x:c r="G22" s="7" t="n">
        <x:v>0.07277105933209646</x:v>
      </x:c>
      <x:c r="H22" s="7" t="str">
        <x:v>World Bank API / UN World Population Prospects</x:v>
      </x:c>
      <x:c r="I22" s="7" t="str">
        <x:v>https://api.worldbank.org/v2/</x:v>
      </x:c>
      <x:c r="J22" s="7" t="str">
        <x:v>Ages 15-19 split 60% to 0-17 and 40% to 18-29; age 80+ is sex total minus ages 0-79</x:v>
      </x:c>
    </x:row>
    <x:row r="23" ht="24" hidden="0" customHeight="1">
      <x:c r="A23" s="7" t="str">
        <x:v>Australia</x:v>
      </x:c>
      <x:c r="B23" s="7" t="str">
        <x:v>AUS</x:v>
      </x:c>
      <x:c r="C23" s="7" t="n">
        <x:v>2024</x:v>
      </x:c>
      <x:c r="D23" s="7" t="str">
        <x:v>40-49</x:v>
      </x:c>
      <x:c r="E23" s="7" t="str">
        <x:v>Male</x:v>
      </x:c>
      <x:c r="F23" s="7" t="n">
        <x:v>1748066</x:v>
      </x:c>
      <x:c r="G23" s="7" t="n">
        <x:v>0.06428063601302127</x:v>
      </x:c>
      <x:c r="H23" s="7" t="str">
        <x:v>World Bank API / UN World Population Prospects</x:v>
      </x:c>
      <x:c r="I23" s="7" t="str">
        <x:v>https://api.worldbank.org/v2/</x:v>
      </x:c>
      <x:c r="J23" s="7" t="str">
        <x:v>Ages 15-19 split 60% to 0-17 and 40% to 18-29; age 80+ is sex total minus ages 0-79</x:v>
      </x:c>
    </x:row>
    <x:row r="24" ht="24" hidden="0" customHeight="1">
      <x:c r="A24" s="7" t="str">
        <x:v>Australia</x:v>
      </x:c>
      <x:c r="B24" s="7" t="str">
        <x:v>AUS</x:v>
      </x:c>
      <x:c r="C24" s="7" t="n">
        <x:v>2024</x:v>
      </x:c>
      <x:c r="D24" s="7" t="str">
        <x:v>50-59</x:v>
      </x:c>
      <x:c r="E24" s="7" t="str">
        <x:v>Male</x:v>
      </x:c>
      <x:c r="F24" s="7" t="n">
        <x:v>1621692</x:v>
      </x:c>
      <x:c r="G24" s="7" t="n">
        <x:v>0.0596335568435222</x:v>
      </x:c>
      <x:c r="H24" s="7" t="str">
        <x:v>World Bank API / UN World Population Prospects</x:v>
      </x:c>
      <x:c r="I24" s="7" t="str">
        <x:v>https://api.worldbank.org/v2/</x:v>
      </x:c>
      <x:c r="J24" s="7" t="str">
        <x:v>Ages 15-19 split 60% to 0-17 and 40% to 18-29; age 80+ is sex total minus ages 0-79</x:v>
      </x:c>
    </x:row>
    <x:row r="25" ht="24" hidden="0" customHeight="1">
      <x:c r="A25" s="7" t="str">
        <x:v>Australia</x:v>
      </x:c>
      <x:c r="B25" s="7" t="str">
        <x:v>AUS</x:v>
      </x:c>
      <x:c r="C25" s="7" t="n">
        <x:v>2024</x:v>
      </x:c>
      <x:c r="D25" s="7" t="str">
        <x:v>60+</x:v>
      </x:c>
      <x:c r="E25" s="7" t="str">
        <x:v>Male</x:v>
      </x:c>
      <x:c r="F25" s="7" t="n">
        <x:v>3005366</x:v>
      </x:c>
      <x:c r="G25" s="7" t="n">
        <x:v>0.11051461325368131</x:v>
      </x:c>
      <x:c r="H25" s="7" t="str">
        <x:v>World Bank API / UN World Population Prospects</x:v>
      </x:c>
      <x:c r="I25" s="7" t="str">
        <x:v>https://api.worldbank.org/v2/</x:v>
      </x:c>
      <x:c r="J25" s="7" t="str">
        <x:v>Ages 15-19 split 60% to 0-17 and 40% to 18-29; age 80+ is sex total minus ages 0-79</x:v>
      </x:c>
    </x:row>
    <x:row r="26" ht="24" hidden="0" customHeight="1">
      <x:c r="A26" s="7" t="str">
        <x:v>Bangladesh</x:v>
      </x:c>
      <x:c r="B26" s="7" t="str">
        <x:v>BGD</x:v>
      </x:c>
      <x:c r="C26" s="7" t="n">
        <x:v>2024</x:v>
      </x:c>
      <x:c r="D26" s="7" t="str">
        <x:v>0-17</x:v>
      </x:c>
      <x:c r="E26" s="7" t="str">
        <x:v>Female</x:v>
      </x:c>
      <x:c r="F26" s="7" t="n">
        <x:v>28570859.8</x:v>
      </x:c>
      <x:c r="G26" s="7" t="n">
        <x:v>0.16461437342487453</x:v>
      </x:c>
      <x:c r="H26" s="7" t="str">
        <x:v>World Bank API / UN World Population Prospects</x:v>
      </x:c>
      <x:c r="I26" s="7" t="str">
        <x:v>https://api.worldbank.org/v2/</x:v>
      </x:c>
      <x:c r="J26" s="7" t="str">
        <x:v>Ages 15-19 split 60% to 0-17 and 40% to 18-29; age 80+ is sex total minus ages 0-79</x:v>
      </x:c>
    </x:row>
    <x:row r="27" ht="24" hidden="0" customHeight="1">
      <x:c r="A27" s="7" t="str">
        <x:v>Bangladesh</x:v>
      </x:c>
      <x:c r="B27" s="7" t="str">
        <x:v>BGD</x:v>
      </x:c>
      <x:c r="C27" s="7" t="n">
        <x:v>2024</x:v>
      </x:c>
      <x:c r="D27" s="7" t="str">
        <x:v>18-29</x:v>
      </x:c>
      <x:c r="E27" s="7" t="str">
        <x:v>Female</x:v>
      </x:c>
      <x:c r="F27" s="7" t="n">
        <x:v>20318489.2</x:v>
      </x:c>
      <x:c r="G27" s="7" t="n">
        <x:v>0.11706736836103476</x:v>
      </x:c>
      <x:c r="H27" s="7" t="str">
        <x:v>World Bank API / UN World Population Prospects</x:v>
      </x:c>
      <x:c r="I27" s="7" t="str">
        <x:v>https://api.worldbank.org/v2/</x:v>
      </x:c>
      <x:c r="J27" s="7" t="str">
        <x:v>Ages 15-19 split 60% to 0-17 and 40% to 18-29; age 80+ is sex total minus ages 0-79</x:v>
      </x:c>
    </x:row>
    <x:row r="28" ht="24" hidden="0" customHeight="1">
      <x:c r="A28" s="7" t="str">
        <x:v>Bangladesh</x:v>
      </x:c>
      <x:c r="B28" s="7" t="str">
        <x:v>BGD</x:v>
      </x:c>
      <x:c r="C28" s="7" t="n">
        <x:v>2024</x:v>
      </x:c>
      <x:c r="D28" s="7" t="str">
        <x:v>30-39</x:v>
      </x:c>
      <x:c r="E28" s="7" t="str">
        <x:v>Female</x:v>
      </x:c>
      <x:c r="F28" s="7" t="n">
        <x:v>13761323</x:v>
      </x:c>
      <x:c r="G28" s="7" t="n">
        <x:v>0.0792874830859068</x:v>
      </x:c>
      <x:c r="H28" s="7" t="str">
        <x:v>World Bank API / UN World Population Prospects</x:v>
      </x:c>
      <x:c r="I28" s="7" t="str">
        <x:v>https://api.worldbank.org/v2/</x:v>
      </x:c>
      <x:c r="J28" s="7" t="str">
        <x:v>Ages 15-19 split 60% to 0-17 and 40% to 18-29; age 80+ is sex total minus ages 0-79</x:v>
      </x:c>
    </x:row>
    <x:row r="29" ht="24" hidden="0" customHeight="1">
      <x:c r="A29" s="7" t="str">
        <x:v>Bangladesh</x:v>
      </x:c>
      <x:c r="B29" s="7" t="str">
        <x:v>BGD</x:v>
      </x:c>
      <x:c r="C29" s="7" t="n">
        <x:v>2024</x:v>
      </x:c>
      <x:c r="D29" s="7" t="str">
        <x:v>40-49</x:v>
      </x:c>
      <x:c r="E29" s="7" t="str">
        <x:v>Female</x:v>
      </x:c>
      <x:c r="F29" s="7" t="n">
        <x:v>10240900</x:v>
      </x:c>
      <x:c r="G29" s="7" t="n">
        <x:v>0.059004151383879516</x:v>
      </x:c>
      <x:c r="H29" s="7" t="str">
        <x:v>World Bank API / UN World Population Prospects</x:v>
      </x:c>
      <x:c r="I29" s="7" t="str">
        <x:v>https://api.worldbank.org/v2/</x:v>
      </x:c>
      <x:c r="J29" s="7" t="str">
        <x:v>Ages 15-19 split 60% to 0-17 and 40% to 18-29; age 80+ is sex total minus ages 0-79</x:v>
      </x:c>
    </x:row>
    <x:row r="30" ht="24" hidden="0" customHeight="1">
      <x:c r="A30" s="7" t="str">
        <x:v>Bangladesh</x:v>
      </x:c>
      <x:c r="B30" s="7" t="str">
        <x:v>BGD</x:v>
      </x:c>
      <x:c r="C30" s="7" t="n">
        <x:v>2024</x:v>
      </x:c>
      <x:c r="D30" s="7" t="str">
        <x:v>50-59</x:v>
      </x:c>
      <x:c r="E30" s="7" t="str">
        <x:v>Female</x:v>
      </x:c>
      <x:c r="F30" s="7" t="n">
        <x:v>7041550</x:v>
      </x:c>
      <x:c r="G30" s="7" t="n">
        <x:v>0.04057071958296212</x:v>
      </x:c>
      <x:c r="H30" s="7" t="str">
        <x:v>World Bank API / UN World Population Prospects</x:v>
      </x:c>
      <x:c r="I30" s="7" t="str">
        <x:v>https://api.worldbank.org/v2/</x:v>
      </x:c>
      <x:c r="J30" s="7" t="str">
        <x:v>Ages 15-19 split 60% to 0-17 and 40% to 18-29; age 80+ is sex total minus ages 0-79</x:v>
      </x:c>
    </x:row>
    <x:row r="31" ht="24" hidden="0" customHeight="1">
      <x:c r="A31" s="7" t="str">
        <x:v>Bangladesh</x:v>
      </x:c>
      <x:c r="B31" s="7" t="str">
        <x:v>BGD</x:v>
      </x:c>
      <x:c r="C31" s="7" t="n">
        <x:v>2024</x:v>
      </x:c>
      <x:c r="D31" s="7" t="str">
        <x:v>60+</x:v>
      </x:c>
      <x:c r="E31" s="7" t="str">
        <x:v>Female</x:v>
      </x:c>
      <x:c r="F31" s="7" t="n">
        <x:v>8285586</x:v>
      </x:c>
      <x:c r="G31" s="7" t="n">
        <x:v>0.0477383795025977</x:v>
      </x:c>
      <x:c r="H31" s="7" t="str">
        <x:v>World Bank API / UN World Population Prospects</x:v>
      </x:c>
      <x:c r="I31" s="7" t="str">
        <x:v>https://api.worldbank.org/v2/</x:v>
      </x:c>
      <x:c r="J31" s="7" t="str">
        <x:v>Ages 15-19 split 60% to 0-17 and 40% to 18-29; age 80+ is sex total minus ages 0-79</x:v>
      </x:c>
    </x:row>
    <x:row r="32" ht="24" hidden="0" customHeight="1">
      <x:c r="A32" s="7" t="str">
        <x:v>Bangladesh</x:v>
      </x:c>
      <x:c r="B32" s="7" t="str">
        <x:v>BGD</x:v>
      </x:c>
      <x:c r="C32" s="7" t="n">
        <x:v>2024</x:v>
      </x:c>
      <x:c r="D32" s="7" t="str">
        <x:v>0-17</x:v>
      </x:c>
      <x:c r="E32" s="7" t="str">
        <x:v>Male</x:v>
      </x:c>
      <x:c r="F32" s="7" t="n">
        <x:v>30253347.6</x:v>
      </x:c>
      <x:c r="G32" s="7" t="n">
        <x:v>0.17430822502509818</x:v>
      </x:c>
      <x:c r="H32" s="7" t="str">
        <x:v>World Bank API / UN World Population Prospects</x:v>
      </x:c>
      <x:c r="I32" s="7" t="str">
        <x:v>https://api.worldbank.org/v2/</x:v>
      </x:c>
      <x:c r="J32" s="7" t="str">
        <x:v>Ages 15-19 split 60% to 0-17 and 40% to 18-29; age 80+ is sex total minus ages 0-79</x:v>
      </x:c>
    </x:row>
    <x:row r="33" ht="24" hidden="0" customHeight="1">
      <x:c r="A33" s="7" t="str">
        <x:v>Bangladesh</x:v>
      </x:c>
      <x:c r="B33" s="7" t="str">
        <x:v>BGD</x:v>
      </x:c>
      <x:c r="C33" s="7" t="n">
        <x:v>2024</x:v>
      </x:c>
      <x:c r="D33" s="7" t="str">
        <x:v>18-29</x:v>
      </x:c>
      <x:c r="E33" s="7" t="str">
        <x:v>Male</x:v>
      </x:c>
      <x:c r="F33" s="7" t="n">
        <x:v>17716449.4</x:v>
      </x:c>
      <x:c r="G33" s="7" t="n">
        <x:v>0.10207540962048661</x:v>
      </x:c>
      <x:c r="H33" s="7" t="str">
        <x:v>World Bank API / UN World Population Prospects</x:v>
      </x:c>
      <x:c r="I33" s="7" t="str">
        <x:v>https://api.worldbank.org/v2/</x:v>
      </x:c>
      <x:c r="J33" s="7" t="str">
        <x:v>Ages 15-19 split 60% to 0-17 and 40% to 18-29; age 80+ is sex total minus ages 0-79</x:v>
      </x:c>
    </x:row>
    <x:row r="34" ht="24" hidden="0" customHeight="1">
      <x:c r="A34" s="7" t="str">
        <x:v>Bangladesh</x:v>
      </x:c>
      <x:c r="B34" s="7" t="str">
        <x:v>BGD</x:v>
      </x:c>
      <x:c r="C34" s="7" t="n">
        <x:v>2024</x:v>
      </x:c>
      <x:c r="D34" s="7" t="str">
        <x:v>30-39</x:v>
      </x:c>
      <x:c r="E34" s="7" t="str">
        <x:v>Male</x:v>
      </x:c>
      <x:c r="F34" s="7" t="n">
        <x:v>12029124</x:v>
      </x:c>
      <x:c r="G34" s="7" t="n">
        <x:v>0.06930721455257431</x:v>
      </x:c>
      <x:c r="H34" s="7" t="str">
        <x:v>World Bank API / UN World Population Prospects</x:v>
      </x:c>
      <x:c r="I34" s="7" t="str">
        <x:v>https://api.worldbank.org/v2/</x:v>
      </x:c>
      <x:c r="J34" s="7" t="str">
        <x:v>Ages 15-19 split 60% to 0-17 and 40% to 18-29; age 80+ is sex total minus ages 0-79</x:v>
      </x:c>
    </x:row>
    <x:row r="35" ht="24" hidden="0" customHeight="1">
      <x:c r="A35" s="7" t="str">
        <x:v>Bangladesh</x:v>
      </x:c>
      <x:c r="B35" s="7" t="str">
        <x:v>BGD</x:v>
      </x:c>
      <x:c r="C35" s="7" t="n">
        <x:v>2024</x:v>
      </x:c>
      <x:c r="D35" s="7" t="str">
        <x:v>40-49</x:v>
      </x:c>
      <x:c r="E35" s="7" t="str">
        <x:v>Male</x:v>
      </x:c>
      <x:c r="F35" s="7" t="n">
        <x:v>10135331</x:v>
      </x:c>
      <x:c r="G35" s="7" t="n">
        <x:v>0.05839590315789891</x:v>
      </x:c>
      <x:c r="H35" s="7" t="str">
        <x:v>World Bank API / UN World Population Prospects</x:v>
      </x:c>
      <x:c r="I35" s="7" t="str">
        <x:v>https://api.worldbank.org/v2/</x:v>
      </x:c>
      <x:c r="J35" s="7" t="str">
        <x:v>Ages 15-19 split 60% to 0-17 and 40% to 18-29; age 80+ is sex total minus ages 0-79</x:v>
      </x:c>
    </x:row>
    <x:row r="36" ht="24" hidden="0" customHeight="1">
      <x:c r="A36" s="7" t="str">
        <x:v>Bangladesh</x:v>
      </x:c>
      <x:c r="B36" s="7" t="str">
        <x:v>BGD</x:v>
      </x:c>
      <x:c r="C36" s="7" t="n">
        <x:v>2024</x:v>
      </x:c>
      <x:c r="D36" s="7" t="str">
        <x:v>50-59</x:v>
      </x:c>
      <x:c r="E36" s="7" t="str">
        <x:v>Male</x:v>
      </x:c>
      <x:c r="F36" s="7" t="n">
        <x:v>6984408</x:v>
      </x:c>
      <x:c r="G36" s="7" t="n">
        <x:v>0.04024148922055475</x:v>
      </x:c>
      <x:c r="H36" s="7" t="str">
        <x:v>World Bank API / UN World Population Prospects</x:v>
      </x:c>
      <x:c r="I36" s="7" t="str">
        <x:v>https://api.worldbank.org/v2/</x:v>
      </x:c>
      <x:c r="J36" s="7" t="str">
        <x:v>Ages 15-19 split 60% to 0-17 and 40% to 18-29; age 80+ is sex total minus ages 0-79</x:v>
      </x:c>
    </x:row>
    <x:row r="37" ht="24" hidden="0" customHeight="1">
      <x:c r="A37" s="7" t="str">
        <x:v>Bangladesh</x:v>
      </x:c>
      <x:c r="B37" s="7" t="str">
        <x:v>BGD</x:v>
      </x:c>
      <x:c r="C37" s="7" t="n">
        <x:v>2024</x:v>
      </x:c>
      <x:c r="D37" s="7" t="str">
        <x:v>60+</x:v>
      </x:c>
      <x:c r="E37" s="7" t="str">
        <x:v>Male</x:v>
      </x:c>
      <x:c r="F37" s="7" t="n">
        <x:v>8224996</x:v>
      </x:c>
      <x:c r="G37" s="7" t="n">
        <x:v>0.04738928308213179</x:v>
      </x:c>
      <x:c r="H37" s="7" t="str">
        <x:v>World Bank API / UN World Population Prospects</x:v>
      </x:c>
      <x:c r="I37" s="7" t="str">
        <x:v>https://api.worldbank.org/v2/</x:v>
      </x:c>
      <x:c r="J37" s="7" t="str">
        <x:v>Ages 15-19 split 60% to 0-17 and 40% to 18-29; age 80+ is sex total minus ages 0-79</x:v>
      </x:c>
    </x:row>
    <x:row r="38" ht="24" hidden="0" customHeight="1">
      <x:c r="A38" s="7" t="str">
        <x:v>Chile</x:v>
      </x:c>
      <x:c r="B38" s="7" t="str">
        <x:v>CHL</x:v>
      </x:c>
      <x:c r="C38" s="7" t="n">
        <x:v>2024</x:v>
      </x:c>
      <x:c r="D38" s="7" t="str">
        <x:v>0-17</x:v>
      </x:c>
      <x:c r="E38" s="7" t="str">
        <x:v>Female</x:v>
      </x:c>
      <x:c r="F38" s="7" t="n">
        <x:v>2002082.4</x:v>
      </x:c>
      <x:c r="G38" s="7" t="n">
        <x:v>0.10129550198178365</x:v>
      </x:c>
      <x:c r="H38" s="7" t="str">
        <x:v>World Bank API / UN World Population Prospects</x:v>
      </x:c>
      <x:c r="I38" s="7" t="str">
        <x:v>https://api.worldbank.org/v2/</x:v>
      </x:c>
      <x:c r="J38" s="7" t="str">
        <x:v>Ages 15-19 split 60% to 0-17 and 40% to 18-29; age 80+ is sex total minus ages 0-79</x:v>
      </x:c>
    </x:row>
    <x:row r="39" ht="24" hidden="0" customHeight="1">
      <x:c r="A39" s="7" t="str">
        <x:v>Chile</x:v>
      </x:c>
      <x:c r="B39" s="7" t="str">
        <x:v>CHL</x:v>
      </x:c>
      <x:c r="C39" s="7" t="n">
        <x:v>2024</x:v>
      </x:c>
      <x:c r="D39" s="7" t="str">
        <x:v>18-29</x:v>
      </x:c>
      <x:c r="E39" s="7" t="str">
        <x:v>Female</x:v>
      </x:c>
      <x:c r="F39" s="7" t="n">
        <x:v>1656586.6</x:v>
      </x:c>
      <x:c r="G39" s="7" t="n">
        <x:v>0.08381511731150339</x:v>
      </x:c>
      <x:c r="H39" s="7" t="str">
        <x:v>World Bank API / UN World Population Prospects</x:v>
      </x:c>
      <x:c r="I39" s="7" t="str">
        <x:v>https://api.worldbank.org/v2/</x:v>
      </x:c>
      <x:c r="J39" s="7" t="str">
        <x:v>Ages 15-19 split 60% to 0-17 and 40% to 18-29; age 80+ is sex total minus ages 0-79</x:v>
      </x:c>
    </x:row>
    <x:row r="40" ht="24" hidden="0" customHeight="1">
      <x:c r="A40" s="7" t="str">
        <x:v>Chile</x:v>
      </x:c>
      <x:c r="B40" s="7" t="str">
        <x:v>CHL</x:v>
      </x:c>
      <x:c r="C40" s="7" t="n">
        <x:v>2024</x:v>
      </x:c>
      <x:c r="D40" s="7" t="str">
        <x:v>30-39</x:v>
      </x:c>
      <x:c r="E40" s="7" t="str">
        <x:v>Female</x:v>
      </x:c>
      <x:c r="F40" s="7" t="n">
        <x:v>1593854</x:v>
      </x:c>
      <x:c r="G40" s="7" t="n">
        <x:v>0.08064115693523594</x:v>
      </x:c>
      <x:c r="H40" s="7" t="str">
        <x:v>World Bank API / UN World Population Prospects</x:v>
      </x:c>
      <x:c r="I40" s="7" t="str">
        <x:v>https://api.worldbank.org/v2/</x:v>
      </x:c>
      <x:c r="J40" s="7" t="str">
        <x:v>Ages 15-19 split 60% to 0-17 and 40% to 18-29; age 80+ is sex total minus ages 0-79</x:v>
      </x:c>
    </x:row>
    <x:row r="41" ht="24" hidden="0" customHeight="1">
      <x:c r="A41" s="7" t="str">
        <x:v>Chile</x:v>
      </x:c>
      <x:c r="B41" s="7" t="str">
        <x:v>CHL</x:v>
      </x:c>
      <x:c r="C41" s="7" t="n">
        <x:v>2024</x:v>
      </x:c>
      <x:c r="D41" s="7" t="str">
        <x:v>40-49</x:v>
      </x:c>
      <x:c r="E41" s="7" t="str">
        <x:v>Female</x:v>
      </x:c>
      <x:c r="F41" s="7" t="n">
        <x:v>1367434</x:v>
      </x:c>
      <x:c r="G41" s="7" t="n">
        <x:v>0.06918542086827113</x:v>
      </x:c>
      <x:c r="H41" s="7" t="str">
        <x:v>World Bank API / UN World Population Prospects</x:v>
      </x:c>
      <x:c r="I41" s="7" t="str">
        <x:v>https://api.worldbank.org/v2/</x:v>
      </x:c>
      <x:c r="J41" s="7" t="str">
        <x:v>Ages 15-19 split 60% to 0-17 and 40% to 18-29; age 80+ is sex total minus ages 0-79</x:v>
      </x:c>
    </x:row>
    <x:row r="42" ht="24" hidden="0" customHeight="1">
      <x:c r="A42" s="7" t="str">
        <x:v>Chile</x:v>
      </x:c>
      <x:c r="B42" s="7" t="str">
        <x:v>CHL</x:v>
      </x:c>
      <x:c r="C42" s="7" t="n">
        <x:v>2024</x:v>
      </x:c>
      <x:c r="D42" s="7" t="str">
        <x:v>50-59</x:v>
      </x:c>
      <x:c r="E42" s="7" t="str">
        <x:v>Female</x:v>
      </x:c>
      <x:c r="F42" s="7" t="n">
        <x:v>1250150</x:v>
      </x:c>
      <x:c r="G42" s="7" t="n">
        <x:v>0.06325142851389474</x:v>
      </x:c>
      <x:c r="H42" s="7" t="str">
        <x:v>World Bank API / UN World Population Prospects</x:v>
      </x:c>
      <x:c r="I42" s="7" t="str">
        <x:v>https://api.worldbank.org/v2/</x:v>
      </x:c>
      <x:c r="J42" s="7" t="str">
        <x:v>Ages 15-19 split 60% to 0-17 and 40% to 18-29; age 80+ is sex total minus ages 0-79</x:v>
      </x:c>
    </x:row>
    <x:row r="43" ht="24" hidden="0" customHeight="1">
      <x:c r="A43" s="7" t="str">
        <x:v>Chile</x:v>
      </x:c>
      <x:c r="B43" s="7" t="str">
        <x:v>CHL</x:v>
      </x:c>
      <x:c r="C43" s="7" t="n">
        <x:v>2024</x:v>
      </x:c>
      <x:c r="D43" s="7" t="str">
        <x:v>60+</x:v>
      </x:c>
      <x:c r="E43" s="7" t="str">
        <x:v>Female</x:v>
      </x:c>
      <x:c r="F43" s="7" t="n">
        <x:v>2071215</x:v>
      </x:c>
      <x:c r="G43" s="7" t="n">
        <x:v>0.1047932708150274</x:v>
      </x:c>
      <x:c r="H43" s="7" t="str">
        <x:v>World Bank API / UN World Population Prospects</x:v>
      </x:c>
      <x:c r="I43" s="7" t="str">
        <x:v>https://api.worldbank.org/v2/</x:v>
      </x:c>
      <x:c r="J43" s="7" t="str">
        <x:v>Ages 15-19 split 60% to 0-17 and 40% to 18-29; age 80+ is sex total minus ages 0-79</x:v>
      </x:c>
    </x:row>
    <x:row r="44" ht="24" hidden="0" customHeight="1">
      <x:c r="A44" s="7" t="str">
        <x:v>Chile</x:v>
      </x:c>
      <x:c r="B44" s="7" t="str">
        <x:v>CHL</x:v>
      </x:c>
      <x:c r="C44" s="7" t="n">
        <x:v>2024</x:v>
      </x:c>
      <x:c r="D44" s="7" t="str">
        <x:v>0-17</x:v>
      </x:c>
      <x:c r="E44" s="7" t="str">
        <x:v>Male</x:v>
      </x:c>
      <x:c r="F44" s="7" t="n">
        <x:v>2079711.2</x:v>
      </x:c>
      <x:c r="G44" s="7" t="n">
        <x:v>0.10522313666067773</x:v>
      </x:c>
      <x:c r="H44" s="7" t="str">
        <x:v>World Bank API / UN World Population Prospects</x:v>
      </x:c>
      <x:c r="I44" s="7" t="str">
        <x:v>https://api.worldbank.org/v2/</x:v>
      </x:c>
      <x:c r="J44" s="7" t="str">
        <x:v>Ages 15-19 split 60% to 0-17 and 40% to 18-29; age 80+ is sex total minus ages 0-79</x:v>
      </x:c>
    </x:row>
    <x:row r="45" ht="24" hidden="0" customHeight="1">
      <x:c r="A45" s="7" t="str">
        <x:v>Chile</x:v>
      </x:c>
      <x:c r="B45" s="7" t="str">
        <x:v>CHL</x:v>
      </x:c>
      <x:c r="C45" s="7" t="n">
        <x:v>2024</x:v>
      </x:c>
      <x:c r="D45" s="7" t="str">
        <x:v>18-29</x:v>
      </x:c>
      <x:c r="E45" s="7" t="str">
        <x:v>Male</x:v>
      </x:c>
      <x:c r="F45" s="7" t="n">
        <x:v>1702074.8</x:v>
      </x:c>
      <x:c r="G45" s="7" t="n">
        <x:v>0.08611659603847674</x:v>
      </x:c>
      <x:c r="H45" s="7" t="str">
        <x:v>World Bank API / UN World Population Prospects</x:v>
      </x:c>
      <x:c r="I45" s="7" t="str">
        <x:v>https://api.worldbank.org/v2/</x:v>
      </x:c>
      <x:c r="J45" s="7" t="str">
        <x:v>Ages 15-19 split 60% to 0-17 and 40% to 18-29; age 80+ is sex total minus ages 0-79</x:v>
      </x:c>
    </x:row>
    <x:row r="46" ht="24" hidden="0" customHeight="1">
      <x:c r="A46" s="7" t="str">
        <x:v>Chile</x:v>
      </x:c>
      <x:c r="B46" s="7" t="str">
        <x:v>CHL</x:v>
      </x:c>
      <x:c r="C46" s="7" t="n">
        <x:v>2024</x:v>
      </x:c>
      <x:c r="D46" s="7" t="str">
        <x:v>30-39</x:v>
      </x:c>
      <x:c r="E46" s="7" t="str">
        <x:v>Male</x:v>
      </x:c>
      <x:c r="F46" s="7" t="n">
        <x:v>1628325</x:v>
      </x:c>
      <x:c r="G46" s="7" t="n">
        <x:v>0.08238521964155314</x:v>
      </x:c>
      <x:c r="H46" s="7" t="str">
        <x:v>World Bank API / UN World Population Prospects</x:v>
      </x:c>
      <x:c r="I46" s="7" t="str">
        <x:v>https://api.worldbank.org/v2/</x:v>
      </x:c>
      <x:c r="J46" s="7" t="str">
        <x:v>Ages 15-19 split 60% to 0-17 and 40% to 18-29; age 80+ is sex total minus ages 0-79</x:v>
      </x:c>
    </x:row>
    <x:row r="47" ht="24" hidden="0" customHeight="1">
      <x:c r="A47" s="7" t="str">
        <x:v>Chile</x:v>
      </x:c>
      <x:c r="B47" s="7" t="str">
        <x:v>CHL</x:v>
      </x:c>
      <x:c r="C47" s="7" t="n">
        <x:v>2024</x:v>
      </x:c>
      <x:c r="D47" s="7" t="str">
        <x:v>40-49</x:v>
      </x:c>
      <x:c r="E47" s="7" t="str">
        <x:v>Male</x:v>
      </x:c>
      <x:c r="F47" s="7" t="n">
        <x:v>1383984</x:v>
      </x:c>
      <x:c r="G47" s="7" t="n">
        <x:v>0.07002276929998329</x:v>
      </x:c>
      <x:c r="H47" s="7" t="str">
        <x:v>World Bank API / UN World Population Prospects</x:v>
      </x:c>
      <x:c r="I47" s="7" t="str">
        <x:v>https://api.worldbank.org/v2/</x:v>
      </x:c>
      <x:c r="J47" s="7" t="str">
        <x:v>Ages 15-19 split 60% to 0-17 and 40% to 18-29; age 80+ is sex total minus ages 0-79</x:v>
      </x:c>
    </x:row>
    <x:row r="48" ht="24" hidden="0" customHeight="1">
      <x:c r="A48" s="7" t="str">
        <x:v>Chile</x:v>
      </x:c>
      <x:c r="B48" s="7" t="str">
        <x:v>CHL</x:v>
      </x:c>
      <x:c r="C48" s="7" t="n">
        <x:v>2024</x:v>
      </x:c>
      <x:c r="D48" s="7" t="str">
        <x:v>50-59</x:v>
      </x:c>
      <x:c r="E48" s="7" t="str">
        <x:v>Male</x:v>
      </x:c>
      <x:c r="F48" s="7" t="n">
        <x:v>1229214</x:v>
      </x:c>
      <x:c r="G48" s="7" t="n">
        <x:v>0.06219217009901101</x:v>
      </x:c>
      <x:c r="H48" s="7" t="str">
        <x:v>World Bank API / UN World Population Prospects</x:v>
      </x:c>
      <x:c r="I48" s="7" t="str">
        <x:v>https://api.worldbank.org/v2/</x:v>
      </x:c>
      <x:c r="J48" s="7" t="str">
        <x:v>Ages 15-19 split 60% to 0-17 and 40% to 18-29; age 80+ is sex total minus ages 0-79</x:v>
      </x:c>
    </x:row>
    <x:row r="49" ht="24" hidden="0" customHeight="1">
      <x:c r="A49" s="7" t="str">
        <x:v>Chile</x:v>
      </x:c>
      <x:c r="B49" s="7" t="str">
        <x:v>CHL</x:v>
      </x:c>
      <x:c r="C49" s="7" t="n">
        <x:v>2024</x:v>
      </x:c>
      <x:c r="D49" s="7" t="str">
        <x:v>60+</x:v>
      </x:c>
      <x:c r="E49" s="7" t="str">
        <x:v>Male</x:v>
      </x:c>
      <x:c r="F49" s="7" t="n">
        <x:v>1800140</x:v>
      </x:c>
      <x:c r="G49" s="7" t="n">
        <x:v>0.09107821183458184</x:v>
      </x:c>
      <x:c r="H49" s="7" t="str">
        <x:v>World Bank API / UN World Population Prospects</x:v>
      </x:c>
      <x:c r="I49" s="7" t="str">
        <x:v>https://api.worldbank.org/v2/</x:v>
      </x:c>
      <x:c r="J49" s="7" t="str">
        <x:v>Ages 15-19 split 60% to 0-17 and 40% to 18-29; age 80+ is sex total minus ages 0-79</x:v>
      </x:c>
    </x:row>
    <x:row r="50" ht="24" hidden="0" customHeight="1">
      <x:c r="A50" s="7" t="str">
        <x:v>China</x:v>
      </x:c>
      <x:c r="B50" s="7" t="str">
        <x:v>CHN</x:v>
      </x:c>
      <x:c r="C50" s="7" t="n">
        <x:v>2024</x:v>
      </x:c>
      <x:c r="D50" s="7" t="str">
        <x:v>0-17</x:v>
      </x:c>
      <x:c r="E50" s="7" t="str">
        <x:v>Female</x:v>
      </x:c>
      <x:c r="F50" s="7" t="n">
        <x:v>128027263.6</x:v>
      </x:c>
      <x:c r="G50" s="7" t="n">
        <x:v>0.09086553246154119</x:v>
      </x:c>
      <x:c r="H50" s="7" t="str">
        <x:v>World Bank API / UN World Population Prospects</x:v>
      </x:c>
      <x:c r="I50" s="7" t="str">
        <x:v>https://api.worldbank.org/v2/</x:v>
      </x:c>
      <x:c r="J50" s="7" t="str">
        <x:v>Ages 15-19 split 60% to 0-17 and 40% to 18-29; age 80+ is sex total minus ages 0-79</x:v>
      </x:c>
    </x:row>
    <x:row r="51" ht="24" hidden="0" customHeight="1">
      <x:c r="A51" s="7" t="str">
        <x:v>China</x:v>
      </x:c>
      <x:c r="B51" s="7" t="str">
        <x:v>CHN</x:v>
      </x:c>
      <x:c r="C51" s="7" t="n">
        <x:v>2024</x:v>
      </x:c>
      <x:c r="D51" s="7" t="str">
        <x:v>18-29</x:v>
      </x:c>
      <x:c r="E51" s="7" t="str">
        <x:v>Female</x:v>
      </x:c>
      <x:c r="F51" s="7" t="n">
        <x:v>90539486.4</x:v>
      </x:c>
      <x:c r="G51" s="7" t="n">
        <x:v>0.06425911488848277</x:v>
      </x:c>
      <x:c r="H51" s="7" t="str">
        <x:v>World Bank API / UN World Population Prospects</x:v>
      </x:c>
      <x:c r="I51" s="7" t="str">
        <x:v>https://api.worldbank.org/v2/</x:v>
      </x:c>
      <x:c r="J51" s="7" t="str">
        <x:v>Ages 15-19 split 60% to 0-17 and 40% to 18-29; age 80+ is sex total minus ages 0-79</x:v>
      </x:c>
    </x:row>
    <x:row r="52" ht="24" hidden="0" customHeight="1">
      <x:c r="A52" s="7" t="str">
        <x:v>China</x:v>
      </x:c>
      <x:c r="B52" s="7" t="str">
        <x:v>CHN</x:v>
      </x:c>
      <x:c r="C52" s="7" t="n">
        <x:v>2024</x:v>
      </x:c>
      <x:c r="D52" s="7" t="str">
        <x:v>30-39</x:v>
      </x:c>
      <x:c r="E52" s="7" t="str">
        <x:v>Female</x:v>
      </x:c>
      <x:c r="F52" s="7" t="n">
        <x:v>105882546</x:v>
      </x:c>
      <x:c r="G52" s="7" t="n">
        <x:v>0.07514863358114941</x:v>
      </x:c>
      <x:c r="H52" s="7" t="str">
        <x:v>World Bank API / UN World Population Prospects</x:v>
      </x:c>
      <x:c r="I52" s="7" t="str">
        <x:v>https://api.worldbank.org/v2/</x:v>
      </x:c>
      <x:c r="J52" s="7" t="str">
        <x:v>Ages 15-19 split 60% to 0-17 and 40% to 18-29; age 80+ is sex total minus ages 0-79</x:v>
      </x:c>
    </x:row>
    <x:row r="53" ht="24" hidden="0" customHeight="1">
      <x:c r="A53" s="7" t="str">
        <x:v>China</x:v>
      </x:c>
      <x:c r="B53" s="7" t="str">
        <x:v>CHN</x:v>
      </x:c>
      <x:c r="C53" s="7" t="n">
        <x:v>2024</x:v>
      </x:c>
      <x:c r="D53" s="7" t="str">
        <x:v>40-49</x:v>
      </x:c>
      <x:c r="E53" s="7" t="str">
        <x:v>Female</x:v>
      </x:c>
      <x:c r="F53" s="7" t="n">
        <x:v>94456684</x:v>
      </x:c>
      <x:c r="G53" s="7" t="n">
        <x:v>0.06703929026419915</x:v>
      </x:c>
      <x:c r="H53" s="7" t="str">
        <x:v>World Bank API / UN World Population Prospects</x:v>
      </x:c>
      <x:c r="I53" s="7" t="str">
        <x:v>https://api.worldbank.org/v2/</x:v>
      </x:c>
      <x:c r="J53" s="7" t="str">
        <x:v>Ages 15-19 split 60% to 0-17 and 40% to 18-29; age 80+ is sex total minus ages 0-79</x:v>
      </x:c>
    </x:row>
    <x:row r="54" ht="24" hidden="0" customHeight="1">
      <x:c r="A54" s="7" t="str">
        <x:v>China</x:v>
      </x:c>
      <x:c r="B54" s="7" t="str">
        <x:v>CHN</x:v>
      </x:c>
      <x:c r="C54" s="7" t="n">
        <x:v>2024</x:v>
      </x:c>
      <x:c r="D54" s="7" t="str">
        <x:v>50-59</x:v>
      </x:c>
      <x:c r="E54" s="7" t="str">
        <x:v>Female</x:v>
      </x:c>
      <x:c r="F54" s="7" t="n">
        <x:v>116232105</x:v>
      </x:c>
      <x:c r="G54" s="7" t="n">
        <x:v>0.08249408612643944</x:v>
      </x:c>
      <x:c r="H54" s="7" t="str">
        <x:v>World Bank API / UN World Population Prospects</x:v>
      </x:c>
      <x:c r="I54" s="7" t="str">
        <x:v>https://api.worldbank.org/v2/</x:v>
      </x:c>
      <x:c r="J54" s="7" t="str">
        <x:v>Ages 15-19 split 60% to 0-17 and 40% to 18-29; age 80+ is sex total minus ages 0-79</x:v>
      </x:c>
    </x:row>
    <x:row r="55" ht="24" hidden="0" customHeight="1">
      <x:c r="A55" s="7" t="str">
        <x:v>China</x:v>
      </x:c>
      <x:c r="B55" s="7" t="str">
        <x:v>CHN</x:v>
      </x:c>
      <x:c r="C55" s="7" t="n">
        <x:v>2024</x:v>
      </x:c>
      <x:c r="D55" s="7" t="str">
        <x:v>60+</x:v>
      </x:c>
      <x:c r="E55" s="7" t="str">
        <x:v>Female</x:v>
      </x:c>
      <x:c r="F55" s="7" t="n">
        <x:v>156083742</x:v>
      </x:c>
      <x:c r="G55" s="7" t="n">
        <x:v>0.11077821962774358</x:v>
      </x:c>
      <x:c r="H55" s="7" t="str">
        <x:v>World Bank API / UN World Population Prospects</x:v>
      </x:c>
      <x:c r="I55" s="7" t="str">
        <x:v>https://api.worldbank.org/v2/</x:v>
      </x:c>
      <x:c r="J55" s="7" t="str">
        <x:v>Ages 15-19 split 60% to 0-17 and 40% to 18-29; age 80+ is sex total minus ages 0-79</x:v>
      </x:c>
    </x:row>
    <x:row r="56" ht="24" hidden="0" customHeight="1">
      <x:c r="A56" s="7" t="str">
        <x:v>China</x:v>
      </x:c>
      <x:c r="B56" s="7" t="str">
        <x:v>CHN</x:v>
      </x:c>
      <x:c r="C56" s="7" t="n">
        <x:v>2024</x:v>
      </x:c>
      <x:c r="D56" s="7" t="str">
        <x:v>0-17</x:v>
      </x:c>
      <x:c r="E56" s="7" t="str">
        <x:v>Male</x:v>
      </x:c>
      <x:c r="F56" s="7" t="n">
        <x:v>147028485.4</x:v>
      </x:c>
      <x:c r="G56" s="7" t="n">
        <x:v>0.10435137983285722</x:v>
      </x:c>
      <x:c r="H56" s="7" t="str">
        <x:v>World Bank API / UN World Population Prospects</x:v>
      </x:c>
      <x:c r="I56" s="7" t="str">
        <x:v>https://api.worldbank.org/v2/</x:v>
      </x:c>
      <x:c r="J56" s="7" t="str">
        <x:v>Ages 15-19 split 60% to 0-17 and 40% to 18-29; age 80+ is sex total minus ages 0-79</x:v>
      </x:c>
    </x:row>
    <x:row r="57" ht="24" hidden="0" customHeight="1">
      <x:c r="A57" s="7" t="str">
        <x:v>China</x:v>
      </x:c>
      <x:c r="B57" s="7" t="str">
        <x:v>CHN</x:v>
      </x:c>
      <x:c r="C57" s="7" t="n">
        <x:v>2024</x:v>
      </x:c>
      <x:c r="D57" s="7" t="str">
        <x:v>18-29</x:v>
      </x:c>
      <x:c r="E57" s="7" t="str">
        <x:v>Male</x:v>
      </x:c>
      <x:c r="F57" s="7" t="n">
        <x:v>105161126.6</x:v>
      </x:c>
      <x:c r="G57" s="7" t="n">
        <x:v>0.07463661640554303</x:v>
      </x:c>
      <x:c r="H57" s="7" t="str">
        <x:v>World Bank API / UN World Population Prospects</x:v>
      </x:c>
      <x:c r="I57" s="7" t="str">
        <x:v>https://api.worldbank.org/v2/</x:v>
      </x:c>
      <x:c r="J57" s="7" t="str">
        <x:v>Ages 15-19 split 60% to 0-17 and 40% to 18-29; age 80+ is sex total minus ages 0-79</x:v>
      </x:c>
    </x:row>
    <x:row r="58" ht="24" hidden="0" customHeight="1">
      <x:c r="A58" s="7" t="str">
        <x:v>China</x:v>
      </x:c>
      <x:c r="B58" s="7" t="str">
        <x:v>CHN</x:v>
      </x:c>
      <x:c r="C58" s="7" t="n">
        <x:v>2024</x:v>
      </x:c>
      <x:c r="D58" s="7" t="str">
        <x:v>30-39</x:v>
      </x:c>
      <x:c r="E58" s="7" t="str">
        <x:v>Male</x:v>
      </x:c>
      <x:c r="F58" s="7" t="n">
        <x:v>116122650</x:v>
      </x:c>
      <x:c r="G58" s="7" t="n">
        <x:v>0.0824164019943576</x:v>
      </x:c>
      <x:c r="H58" s="7" t="str">
        <x:v>World Bank API / UN World Population Prospects</x:v>
      </x:c>
      <x:c r="I58" s="7" t="str">
        <x:v>https://api.worldbank.org/v2/</x:v>
      </x:c>
      <x:c r="J58" s="7" t="str">
        <x:v>Ages 15-19 split 60% to 0-17 and 40% to 18-29; age 80+ is sex total minus ages 0-79</x:v>
      </x:c>
    </x:row>
    <x:row r="59" ht="24" hidden="0" customHeight="1">
      <x:c r="A59" s="7" t="str">
        <x:v>China</x:v>
      </x:c>
      <x:c r="B59" s="7" t="str">
        <x:v>CHN</x:v>
      </x:c>
      <x:c r="C59" s="7" t="n">
        <x:v>2024</x:v>
      </x:c>
      <x:c r="D59" s="7" t="str">
        <x:v>40-49</x:v>
      </x:c>
      <x:c r="E59" s="7" t="str">
        <x:v>Male</x:v>
      </x:c>
      <x:c r="F59" s="7" t="n">
        <x:v>98791594</x:v>
      </x:c>
      <x:c r="G59" s="7" t="n">
        <x:v>0.07011593108465373</x:v>
      </x:c>
      <x:c r="H59" s="7" t="str">
        <x:v>World Bank API / UN World Population Prospects</x:v>
      </x:c>
      <x:c r="I59" s="7" t="str">
        <x:v>https://api.worldbank.org/v2/</x:v>
      </x:c>
      <x:c r="J59" s="7" t="str">
        <x:v>Ages 15-19 split 60% to 0-17 and 40% to 18-29; age 80+ is sex total minus ages 0-79</x:v>
      </x:c>
    </x:row>
    <x:row r="60" ht="24" hidden="0" customHeight="1">
      <x:c r="A60" s="7" t="str">
        <x:v>China</x:v>
      </x:c>
      <x:c r="B60" s="7" t="str">
        <x:v>CHN</x:v>
      </x:c>
      <x:c r="C60" s="7" t="n">
        <x:v>2024</x:v>
      </x:c>
      <x:c r="D60" s="7" t="str">
        <x:v>50-59</x:v>
      </x:c>
      <x:c r="E60" s="7" t="str">
        <x:v>Male</x:v>
      </x:c>
      <x:c r="F60" s="7" t="n">
        <x:v>116673687</x:v>
      </x:c>
      <x:c r="G60" s="7" t="n">
        <x:v>0.08280749268084955</x:v>
      </x:c>
      <x:c r="H60" s="7" t="str">
        <x:v>World Bank API / UN World Population Prospects</x:v>
      </x:c>
      <x:c r="I60" s="7" t="str">
        <x:v>https://api.worldbank.org/v2/</x:v>
      </x:c>
      <x:c r="J60" s="7" t="str">
        <x:v>Ages 15-19 split 60% to 0-17 and 40% to 18-29; age 80+ is sex total minus ages 0-79</x:v>
      </x:c>
    </x:row>
    <x:row r="61" ht="24" hidden="0" customHeight="1">
      <x:c r="A61" s="7" t="str">
        <x:v>China</x:v>
      </x:c>
      <x:c r="B61" s="7" t="str">
        <x:v>CHN</x:v>
      </x:c>
      <x:c r="C61" s="7" t="n">
        <x:v>2024</x:v>
      </x:c>
      <x:c r="D61" s="7" t="str">
        <x:v>60+</x:v>
      </x:c>
      <x:c r="E61" s="7" t="str">
        <x:v>Male</x:v>
      </x:c>
      <x:c r="F61" s="7" t="n">
        <x:v>133975630</x:v>
      </x:c>
      <x:c r="G61" s="7" t="n">
        <x:v>0.09508730105218333</x:v>
      </x:c>
      <x:c r="H61" s="7" t="str">
        <x:v>World Bank API / UN World Population Prospects</x:v>
      </x:c>
      <x:c r="I61" s="7" t="str">
        <x:v>https://api.worldbank.org/v2/</x:v>
      </x:c>
      <x:c r="J61" s="7" t="str">
        <x:v>Ages 15-19 split 60% to 0-17 and 40% to 18-29; age 80+ is sex total minus ages 0-79</x:v>
      </x:c>
    </x:row>
    <x:row r="62" ht="24" hidden="0" customHeight="1">
      <x:c r="A62" s="7" t="str">
        <x:v>France</x:v>
      </x:c>
      <x:c r="B62" s="7" t="str">
        <x:v>FRA</x:v>
      </x:c>
      <x:c r="C62" s="7" t="n">
        <x:v>2024</x:v>
      </x:c>
      <x:c r="D62" s="7" t="str">
        <x:v>0-17</x:v>
      </x:c>
      <x:c r="E62" s="7" t="str">
        <x:v>Female</x:v>
      </x:c>
      <x:c r="F62" s="7" t="n">
        <x:v>6768939</x:v>
      </x:c>
      <x:c r="G62" s="7" t="n">
        <x:v>0.09874217037479753</x:v>
      </x:c>
      <x:c r="H62" s="7" t="str">
        <x:v>World Bank API / UN World Population Prospects</x:v>
      </x:c>
      <x:c r="I62" s="7" t="str">
        <x:v>https://api.worldbank.org/v2/</x:v>
      </x:c>
      <x:c r="J62" s="7" t="str">
        <x:v>Ages 15-19 split 60% to 0-17 and 40% to 18-29; age 80+ is sex total minus ages 0-79</x:v>
      </x:c>
    </x:row>
    <x:row r="63" ht="24" hidden="0" customHeight="1">
      <x:c r="A63" s="7" t="str">
        <x:v>France</x:v>
      </x:c>
      <x:c r="B63" s="7" t="str">
        <x:v>FRA</x:v>
      </x:c>
      <x:c r="C63" s="7" t="n">
        <x:v>2024</x:v>
      </x:c>
      <x:c r="D63" s="7" t="str">
        <x:v>18-29</x:v>
      </x:c>
      <x:c r="E63" s="7" t="str">
        <x:v>Female</x:v>
      </x:c>
      <x:c r="F63" s="7" t="n">
        <x:v>4831080</x:v>
      </x:c>
      <x:c r="G63" s="7" t="n">
        <x:v>0.07047357413832166</x:v>
      </x:c>
      <x:c r="H63" s="7" t="str">
        <x:v>World Bank API / UN World Population Prospects</x:v>
      </x:c>
      <x:c r="I63" s="7" t="str">
        <x:v>https://api.worldbank.org/v2/</x:v>
      </x:c>
      <x:c r="J63" s="7" t="str">
        <x:v>Ages 15-19 split 60% to 0-17 and 40% to 18-29; age 80+ is sex total minus ages 0-79</x:v>
      </x:c>
    </x:row>
    <x:row r="64" ht="24" hidden="0" customHeight="1">
      <x:c r="A64" s="7" t="str">
        <x:v>France</x:v>
      </x:c>
      <x:c r="B64" s="7" t="str">
        <x:v>FRA</x:v>
      </x:c>
      <x:c r="C64" s="7" t="n">
        <x:v>2024</x:v>
      </x:c>
      <x:c r="D64" s="7" t="str">
        <x:v>30-39</x:v>
      </x:c>
      <x:c r="E64" s="7" t="str">
        <x:v>Female</x:v>
      </x:c>
      <x:c r="F64" s="7" t="n">
        <x:v>4056686</x:v>
      </x:c>
      <x:c r="G64" s="7" t="n">
        <x:v>0.05917707046393177</x:v>
      </x:c>
      <x:c r="H64" s="7" t="str">
        <x:v>World Bank API / UN World Population Prospects</x:v>
      </x:c>
      <x:c r="I64" s="7" t="str">
        <x:v>https://api.worldbank.org/v2/</x:v>
      </x:c>
      <x:c r="J64" s="7" t="str">
        <x:v>Ages 15-19 split 60% to 0-17 and 40% to 18-29; age 80+ is sex total minus ages 0-79</x:v>
      </x:c>
    </x:row>
    <x:row r="65" ht="24" hidden="0" customHeight="1">
      <x:c r="A65" s="7" t="str">
        <x:v>France</x:v>
      </x:c>
      <x:c r="B65" s="7" t="str">
        <x:v>FRA</x:v>
      </x:c>
      <x:c r="C65" s="7" t="n">
        <x:v>2024</x:v>
      </x:c>
      <x:c r="D65" s="7" t="str">
        <x:v>40-49</x:v>
      </x:c>
      <x:c r="E65" s="7" t="str">
        <x:v>Female</x:v>
      </x:c>
      <x:c r="F65" s="7" t="n">
        <x:v>4267158</x:v>
      </x:c>
      <x:c r="G65" s="7" t="n">
        <x:v>0.06224733924359198</x:v>
      </x:c>
      <x:c r="H65" s="7" t="str">
        <x:v>World Bank API / UN World Population Prospects</x:v>
      </x:c>
      <x:c r="I65" s="7" t="str">
        <x:v>https://api.worldbank.org/v2/</x:v>
      </x:c>
      <x:c r="J65" s="7" t="str">
        <x:v>Ages 15-19 split 60% to 0-17 and 40% to 18-29; age 80+ is sex total minus ages 0-79</x:v>
      </x:c>
    </x:row>
    <x:row r="66" ht="24" hidden="0" customHeight="1">
      <x:c r="A66" s="7" t="str">
        <x:v>France</x:v>
      </x:c>
      <x:c r="B66" s="7" t="str">
        <x:v>FRA</x:v>
      </x:c>
      <x:c r="C66" s="7" t="n">
        <x:v>2024</x:v>
      </x:c>
      <x:c r="D66" s="7" t="str">
        <x:v>50-59</x:v>
      </x:c>
      <x:c r="E66" s="7" t="str">
        <x:v>Female</x:v>
      </x:c>
      <x:c r="F66" s="7" t="n">
        <x:v>4558376</x:v>
      </x:c>
      <x:c r="G66" s="7" t="n">
        <x:v>0.06649549355141006</x:v>
      </x:c>
      <x:c r="H66" s="7" t="str">
        <x:v>World Bank API / UN World Population Prospects</x:v>
      </x:c>
      <x:c r="I66" s="7" t="str">
        <x:v>https://api.worldbank.org/v2/</x:v>
      </x:c>
      <x:c r="J66" s="7" t="str">
        <x:v>Ages 15-19 split 60% to 0-17 and 40% to 18-29; age 80+ is sex total minus ages 0-79</x:v>
      </x:c>
    </x:row>
    <x:row r="67" ht="24" hidden="0" customHeight="1">
      <x:c r="A67" s="7" t="str">
        <x:v>France</x:v>
      </x:c>
      <x:c r="B67" s="7" t="str">
        <x:v>FRA</x:v>
      </x:c>
      <x:c r="C67" s="7" t="n">
        <x:v>2024</x:v>
      </x:c>
      <x:c r="D67" s="7" t="str">
        <x:v>60+</x:v>
      </x:c>
      <x:c r="E67" s="7" t="str">
        <x:v>Female</x:v>
      </x:c>
      <x:c r="F67" s="7" t="n">
        <x:v>10836655</x:v>
      </x:c>
      <x:c r="G67" s="7" t="n">
        <x:v>0.15808014140811455</x:v>
      </x:c>
      <x:c r="H67" s="7" t="str">
        <x:v>World Bank API / UN World Population Prospects</x:v>
      </x:c>
      <x:c r="I67" s="7" t="str">
        <x:v>https://api.worldbank.org/v2/</x:v>
      </x:c>
      <x:c r="J67" s="7" t="str">
        <x:v>Ages 15-19 split 60% to 0-17 and 40% to 18-29; age 80+ is sex total minus ages 0-79</x:v>
      </x:c>
    </x:row>
    <x:row r="68" ht="24" hidden="0" customHeight="1">
      <x:c r="A68" s="7" t="str">
        <x:v>France</x:v>
      </x:c>
      <x:c r="B68" s="7" t="str">
        <x:v>FRA</x:v>
      </x:c>
      <x:c r="C68" s="7" t="n">
        <x:v>2024</x:v>
      </x:c>
      <x:c r="D68" s="7" t="str">
        <x:v>0-17</x:v>
      </x:c>
      <x:c r="E68" s="7" t="str">
        <x:v>Male</x:v>
      </x:c>
      <x:c r="F68" s="7" t="n">
        <x:v>7098088.2</x:v>
      </x:c>
      <x:c r="G68" s="7" t="n">
        <x:v>0.1035436475908174</x:v>
      </x:c>
      <x:c r="H68" s="7" t="str">
        <x:v>World Bank API / UN World Population Prospects</x:v>
      </x:c>
      <x:c r="I68" s="7" t="str">
        <x:v>https://api.worldbank.org/v2/</x:v>
      </x:c>
      <x:c r="J68" s="7" t="str">
        <x:v>Ages 15-19 split 60% to 0-17 and 40% to 18-29; age 80+ is sex total minus ages 0-79</x:v>
      </x:c>
    </x:row>
    <x:row r="69" ht="24" hidden="0" customHeight="1">
      <x:c r="A69" s="7" t="str">
        <x:v>France</x:v>
      </x:c>
      <x:c r="B69" s="7" t="str">
        <x:v>FRA</x:v>
      </x:c>
      <x:c r="C69" s="7" t="n">
        <x:v>2024</x:v>
      </x:c>
      <x:c r="D69" s="7" t="str">
        <x:v>18-29</x:v>
      </x:c>
      <x:c r="E69" s="7" t="str">
        <x:v>Male</x:v>
      </x:c>
      <x:c r="F69" s="7" t="n">
        <x:v>5029506.8</x:v>
      </x:c>
      <x:c r="G69" s="7" t="n">
        <x:v>0.07336813307769544</x:v>
      </x:c>
      <x:c r="H69" s="7" t="str">
        <x:v>World Bank API / UN World Population Prospects</x:v>
      </x:c>
      <x:c r="I69" s="7" t="str">
        <x:v>https://api.worldbank.org/v2/</x:v>
      </x:c>
      <x:c r="J69" s="7" t="str">
        <x:v>Ages 15-19 split 60% to 0-17 and 40% to 18-29; age 80+ is sex total minus ages 0-79</x:v>
      </x:c>
    </x:row>
    <x:row r="70" ht="24" hidden="0" customHeight="1">
      <x:c r="A70" s="7" t="str">
        <x:v>France</x:v>
      </x:c>
      <x:c r="B70" s="7" t="str">
        <x:v>FRA</x:v>
      </x:c>
      <x:c r="C70" s="7" t="n">
        <x:v>2024</x:v>
      </x:c>
      <x:c r="D70" s="7" t="str">
        <x:v>30-39</x:v>
      </x:c>
      <x:c r="E70" s="7" t="str">
        <x:v>Male</x:v>
      </x:c>
      <x:c r="F70" s="7" t="n">
        <x:v>3948377</x:v>
      </x:c>
      <x:c r="G70" s="7" t="n">
        <x:v>0.05759710856279425</x:v>
      </x:c>
      <x:c r="H70" s="7" t="str">
        <x:v>World Bank API / UN World Population Prospects</x:v>
      </x:c>
      <x:c r="I70" s="7" t="str">
        <x:v>https://api.worldbank.org/v2/</x:v>
      </x:c>
      <x:c r="J70" s="7" t="str">
        <x:v>Ages 15-19 split 60% to 0-17 and 40% to 18-29; age 80+ is sex total minus ages 0-79</x:v>
      </x:c>
    </x:row>
    <x:row r="71" ht="24" hidden="0" customHeight="1">
      <x:c r="A71" s="7" t="str">
        <x:v>France</x:v>
      </x:c>
      <x:c r="B71" s="7" t="str">
        <x:v>FRA</x:v>
      </x:c>
      <x:c r="C71" s="7" t="n">
        <x:v>2024</x:v>
      </x:c>
      <x:c r="D71" s="7" t="str">
        <x:v>40-49</x:v>
      </x:c>
      <x:c r="E71" s="7" t="str">
        <x:v>Male</x:v>
      </x:c>
      <x:c r="F71" s="7" t="n">
        <x:v>4155160</x:v>
      </x:c>
      <x:c r="G71" s="7" t="n">
        <x:v>0.060613563906329146</x:v>
      </x:c>
      <x:c r="H71" s="7" t="str">
        <x:v>World Bank API / UN World Population Prospects</x:v>
      </x:c>
      <x:c r="I71" s="7" t="str">
        <x:v>https://api.worldbank.org/v2/</x:v>
      </x:c>
      <x:c r="J71" s="7" t="str">
        <x:v>Ages 15-19 split 60% to 0-17 and 40% to 18-29; age 80+ is sex total minus ages 0-79</x:v>
      </x:c>
    </x:row>
    <x:row r="72" ht="24" hidden="0" customHeight="1">
      <x:c r="A72" s="7" t="str">
        <x:v>France</x:v>
      </x:c>
      <x:c r="B72" s="7" t="str">
        <x:v>FRA</x:v>
      </x:c>
      <x:c r="C72" s="7" t="n">
        <x:v>2024</x:v>
      </x:c>
      <x:c r="D72" s="7" t="str">
        <x:v>50-59</x:v>
      </x:c>
      <x:c r="E72" s="7" t="str">
        <x:v>Male</x:v>
      </x:c>
      <x:c r="F72" s="7" t="n">
        <x:v>4355237</x:v>
      </x:c>
      <x:c r="G72" s="7" t="n">
        <x:v>0.06353219520468747</x:v>
      </x:c>
      <x:c r="H72" s="7" t="str">
        <x:v>World Bank API / UN World Population Prospects</x:v>
      </x:c>
      <x:c r="I72" s="7" t="str">
        <x:v>https://api.worldbank.org/v2/</x:v>
      </x:c>
      <x:c r="J72" s="7" t="str">
        <x:v>Ages 15-19 split 60% to 0-17 and 40% to 18-29; age 80+ is sex total minus ages 0-79</x:v>
      </x:c>
    </x:row>
    <x:row r="73" ht="24" hidden="0" customHeight="1">
      <x:c r="A73" s="7" t="str">
        <x:v>France</x:v>
      </x:c>
      <x:c r="B73" s="7" t="str">
        <x:v>FRA</x:v>
      </x:c>
      <x:c r="C73" s="7" t="n">
        <x:v>2024</x:v>
      </x:c>
      <x:c r="D73" s="7" t="str">
        <x:v>60+</x:v>
      </x:c>
      <x:c r="E73" s="7" t="str">
        <x:v>Male</x:v>
      </x:c>
      <x:c r="F73" s="7" t="n">
        <x:v>8646390</x:v>
      </x:c>
      <x:c r="G73" s="7" t="n">
        <x:v>0.12612956247750876</x:v>
      </x:c>
      <x:c r="H73" s="7" t="str">
        <x:v>World Bank API / UN World Population Prospects</x:v>
      </x:c>
      <x:c r="I73" s="7" t="str">
        <x:v>https://api.worldbank.org/v2/</x:v>
      </x:c>
      <x:c r="J73" s="7" t="str">
        <x:v>Ages 15-19 split 60% to 0-17 and 40% to 18-29; age 80+ is sex total minus ages 0-79</x:v>
      </x:c>
    </x:row>
    <x:row r="74" ht="24" hidden="0" customHeight="1">
      <x:c r="A74" s="7" t="str">
        <x:v>Ghana</x:v>
      </x:c>
      <x:c r="B74" s="7" t="str">
        <x:v>GHA</x:v>
      </x:c>
      <x:c r="C74" s="7" t="n">
        <x:v>2024</x:v>
      </x:c>
      <x:c r="D74" s="7" t="str">
        <x:v>0-17</x:v>
      </x:c>
      <x:c r="E74" s="7" t="str">
        <x:v>Female</x:v>
      </x:c>
      <x:c r="F74" s="7" t="n">
        <x:v>7131817.8</x:v>
      </x:c>
      <x:c r="G74" s="7" t="n">
        <x:v>0.20715519905154653</x:v>
      </x:c>
      <x:c r="H74" s="7" t="str">
        <x:v>World Bank API / UN World Population Prospects</x:v>
      </x:c>
      <x:c r="I74" s="7" t="str">
        <x:v>https://api.worldbank.org/v2/</x:v>
      </x:c>
      <x:c r="J74" s="7" t="str">
        <x:v>Ages 15-19 split 60% to 0-17 and 40% to 18-29; age 80+ is sex total minus ages 0-79</x:v>
      </x:c>
    </x:row>
    <x:row r="75" ht="24" hidden="0" customHeight="1">
      <x:c r="A75" s="7" t="str">
        <x:v>Ghana</x:v>
      </x:c>
      <x:c r="B75" s="7" t="str">
        <x:v>GHA</x:v>
      </x:c>
      <x:c r="C75" s="7" t="n">
        <x:v>2024</x:v>
      </x:c>
      <x:c r="D75" s="7" t="str">
        <x:v>18-29</x:v>
      </x:c>
      <x:c r="E75" s="7" t="str">
        <x:v>Female</x:v>
      </x:c>
      <x:c r="F75" s="7" t="n">
        <x:v>3579917.2</x:v>
      </x:c>
      <x:c r="G75" s="7" t="n">
        <x:v>0.10398449328782</x:v>
      </x:c>
      <x:c r="H75" s="7" t="str">
        <x:v>World Bank API / UN World Population Prospects</x:v>
      </x:c>
      <x:c r="I75" s="7" t="str">
        <x:v>https://api.worldbank.org/v2/</x:v>
      </x:c>
      <x:c r="J75" s="7" t="str">
        <x:v>Ages 15-19 split 60% to 0-17 and 40% to 18-29; age 80+ is sex total minus ages 0-79</x:v>
      </x:c>
    </x:row>
    <x:row r="76" ht="24" hidden="0" customHeight="1">
      <x:c r="A76" s="7" t="str">
        <x:v>Ghana</x:v>
      </x:c>
      <x:c r="B76" s="7" t="str">
        <x:v>GHA</x:v>
      </x:c>
      <x:c r="C76" s="7" t="n">
        <x:v>2024</x:v>
      </x:c>
      <x:c r="D76" s="7" t="str">
        <x:v>30-39</x:v>
      </x:c>
      <x:c r="E76" s="7" t="str">
        <x:v>Female</x:v>
      </x:c>
      <x:c r="F76" s="7" t="n">
        <x:v>2377648</x:v>
      </x:c>
      <x:c r="G76" s="7" t="n">
        <x:v>0.06906263711819889</x:v>
      </x:c>
      <x:c r="H76" s="7" t="str">
        <x:v>World Bank API / UN World Population Prospects</x:v>
      </x:c>
      <x:c r="I76" s="7" t="str">
        <x:v>https://api.worldbank.org/v2/</x:v>
      </x:c>
      <x:c r="J76" s="7" t="str">
        <x:v>Ages 15-19 split 60% to 0-17 and 40% to 18-29; age 80+ is sex total minus ages 0-79</x:v>
      </x:c>
    </x:row>
    <x:row r="77" ht="24" hidden="0" customHeight="1">
      <x:c r="A77" s="7" t="str">
        <x:v>Ghana</x:v>
      </x:c>
      <x:c r="B77" s="7" t="str">
        <x:v>GHA</x:v>
      </x:c>
      <x:c r="C77" s="7" t="n">
        <x:v>2024</x:v>
      </x:c>
      <x:c r="D77" s="7" t="str">
        <x:v>40-49</x:v>
      </x:c>
      <x:c r="E77" s="7" t="str">
        <x:v>Female</x:v>
      </x:c>
      <x:c r="F77" s="7" t="n">
        <x:v>1801857</x:v>
      </x:c>
      <x:c r="G77" s="7" t="n">
        <x:v>0.05233785494315664</x:v>
      </x:c>
      <x:c r="H77" s="7" t="str">
        <x:v>World Bank API / UN World Population Prospects</x:v>
      </x:c>
      <x:c r="I77" s="7" t="str">
        <x:v>https://api.worldbank.org/v2/</x:v>
      </x:c>
      <x:c r="J77" s="7" t="str">
        <x:v>Ages 15-19 split 60% to 0-17 and 40% to 18-29; age 80+ is sex total minus ages 0-79</x:v>
      </x:c>
    </x:row>
    <x:row r="78" ht="24" hidden="0" customHeight="1">
      <x:c r="A78" s="7" t="str">
        <x:v>Ghana</x:v>
      </x:c>
      <x:c r="B78" s="7" t="str">
        <x:v>GHA</x:v>
      </x:c>
      <x:c r="C78" s="7" t="n">
        <x:v>2024</x:v>
      </x:c>
      <x:c r="D78" s="7" t="str">
        <x:v>50-59</x:v>
      </x:c>
      <x:c r="E78" s="7" t="str">
        <x:v>Female</x:v>
      </x:c>
      <x:c r="F78" s="7" t="n">
        <x:v>1210185</x:v>
      </x:c>
      <x:c r="G78" s="7" t="n">
        <x:v>0.03515178340144862</x:v>
      </x:c>
      <x:c r="H78" s="7" t="str">
        <x:v>World Bank API / UN World Population Prospects</x:v>
      </x:c>
      <x:c r="I78" s="7" t="str">
        <x:v>https://api.worldbank.org/v2/</x:v>
      </x:c>
      <x:c r="J78" s="7" t="str">
        <x:v>Ages 15-19 split 60% to 0-17 and 40% to 18-29; age 80+ is sex total minus ages 0-79</x:v>
      </x:c>
    </x:row>
    <x:row r="79" ht="24" hidden="0" customHeight="1">
      <x:c r="A79" s="7" t="str">
        <x:v>Ghana</x:v>
      </x:c>
      <x:c r="B79" s="7" t="str">
        <x:v>GHA</x:v>
      </x:c>
      <x:c r="C79" s="7" t="n">
        <x:v>2024</x:v>
      </x:c>
      <x:c r="D79" s="7" t="str">
        <x:v>60+</x:v>
      </x:c>
      <x:c r="E79" s="7" t="str">
        <x:v>Female</x:v>
      </x:c>
      <x:c r="F79" s="7" t="n">
        <x:v>1131747</x:v>
      </x:c>
      <x:c r="G79" s="7" t="n">
        <x:v>0.032873424649321616</x:v>
      </x:c>
      <x:c r="H79" s="7" t="str">
        <x:v>World Bank API / UN World Population Prospects</x:v>
      </x:c>
      <x:c r="I79" s="7" t="str">
        <x:v>https://api.worldbank.org/v2/</x:v>
      </x:c>
      <x:c r="J79" s="7" t="str">
        <x:v>Ages 15-19 split 60% to 0-17 and 40% to 18-29; age 80+ is sex total minus ages 0-79</x:v>
      </x:c>
    </x:row>
    <x:row r="80" ht="24" hidden="0" customHeight="1">
      <x:c r="A80" s="7" t="str">
        <x:v>Ghana</x:v>
      </x:c>
      <x:c r="B80" s="7" t="str">
        <x:v>GHA</x:v>
      </x:c>
      <x:c r="C80" s="7" t="n">
        <x:v>2024</x:v>
      </x:c>
      <x:c r="D80" s="7" t="str">
        <x:v>0-17</x:v>
      </x:c>
      <x:c r="E80" s="7" t="str">
        <x:v>Male</x:v>
      </x:c>
      <x:c r="F80" s="7" t="n">
        <x:v>7301535.6</x:v>
      </x:c>
      <x:c r="G80" s="7" t="n">
        <x:v>0.21208492743602525</x:v>
      </x:c>
      <x:c r="H80" s="7" t="str">
        <x:v>World Bank API / UN World Population Prospects</x:v>
      </x:c>
      <x:c r="I80" s="7" t="str">
        <x:v>https://api.worldbank.org/v2/</x:v>
      </x:c>
      <x:c r="J80" s="7" t="str">
        <x:v>Ages 15-19 split 60% to 0-17 and 40% to 18-29; age 80+ is sex total minus ages 0-79</x:v>
      </x:c>
    </x:row>
    <x:row r="81" ht="24" hidden="0" customHeight="1">
      <x:c r="A81" s="7" t="str">
        <x:v>Ghana</x:v>
      </x:c>
      <x:c r="B81" s="7" t="str">
        <x:v>GHA</x:v>
      </x:c>
      <x:c r="C81" s="7" t="n">
        <x:v>2024</x:v>
      </x:c>
      <x:c r="D81" s="7" t="str">
        <x:v>18-29</x:v>
      </x:c>
      <x:c r="E81" s="7" t="str">
        <x:v>Male</x:v>
      </x:c>
      <x:c r="F81" s="7" t="n">
        <x:v>3621574.4</x:v>
      </x:c>
      <x:c r="G81" s="7" t="n">
        <x:v>0.10519449413191476</x:v>
      </x:c>
      <x:c r="H81" s="7" t="str">
        <x:v>World Bank API / UN World Population Prospects</x:v>
      </x:c>
      <x:c r="I81" s="7" t="str">
        <x:v>https://api.worldbank.org/v2/</x:v>
      </x:c>
      <x:c r="J81" s="7" t="str">
        <x:v>Ages 15-19 split 60% to 0-17 and 40% to 18-29; age 80+ is sex total minus ages 0-79</x:v>
      </x:c>
    </x:row>
    <x:row r="82" ht="24" hidden="0" customHeight="1">
      <x:c r="A82" s="7" t="str">
        <x:v>Ghana</x:v>
      </x:c>
      <x:c r="B82" s="7" t="str">
        <x:v>GHA</x:v>
      </x:c>
      <x:c r="C82" s="7" t="n">
        <x:v>2024</x:v>
      </x:c>
      <x:c r="D82" s="7" t="str">
        <x:v>30-39</x:v>
      </x:c>
      <x:c r="E82" s="7" t="str">
        <x:v>Male</x:v>
      </x:c>
      <x:c r="F82" s="7" t="n">
        <x:v>2383623</x:v>
      </x:c>
      <x:c r="G82" s="7" t="n">
        <x:v>0.06923619067060918</x:v>
      </x:c>
      <x:c r="H82" s="7" t="str">
        <x:v>World Bank API / UN World Population Prospects</x:v>
      </x:c>
      <x:c r="I82" s="7" t="str">
        <x:v>https://api.worldbank.org/v2/</x:v>
      </x:c>
      <x:c r="J82" s="7" t="str">
        <x:v>Ages 15-19 split 60% to 0-17 and 40% to 18-29; age 80+ is sex total minus ages 0-79</x:v>
      </x:c>
    </x:row>
    <x:row r="83" ht="24" hidden="0" customHeight="1">
      <x:c r="A83" s="7" t="str">
        <x:v>Ghana</x:v>
      </x:c>
      <x:c r="B83" s="7" t="str">
        <x:v>GHA</x:v>
      </x:c>
      <x:c r="C83" s="7" t="n">
        <x:v>2024</x:v>
      </x:c>
      <x:c r="D83" s="7" t="str">
        <x:v>40-49</x:v>
      </x:c>
      <x:c r="E83" s="7" t="str">
        <x:v>Male</x:v>
      </x:c>
      <x:c r="F83" s="7" t="n">
        <x:v>1776121</x:v>
      </x:c>
      <x:c r="G83" s="7" t="n">
        <x:v>0.05159031113983757</x:v>
      </x:c>
      <x:c r="H83" s="7" t="str">
        <x:v>World Bank API / UN World Population Prospects</x:v>
      </x:c>
      <x:c r="I83" s="7" t="str">
        <x:v>https://api.worldbank.org/v2/</x:v>
      </x:c>
      <x:c r="J83" s="7" t="str">
        <x:v>Ages 15-19 split 60% to 0-17 and 40% to 18-29; age 80+ is sex total minus ages 0-79</x:v>
      </x:c>
    </x:row>
    <x:row r="84" ht="24" hidden="0" customHeight="1">
      <x:c r="A84" s="7" t="str">
        <x:v>Ghana</x:v>
      </x:c>
      <x:c r="B84" s="7" t="str">
        <x:v>GHA</x:v>
      </x:c>
      <x:c r="C84" s="7" t="n">
        <x:v>2024</x:v>
      </x:c>
      <x:c r="D84" s="7" t="str">
        <x:v>50-59</x:v>
      </x:c>
      <x:c r="E84" s="7" t="str">
        <x:v>Male</x:v>
      </x:c>
      <x:c r="F84" s="7" t="n">
        <x:v>1148826</x:v>
      </x:c>
      <x:c r="G84" s="7" t="n">
        <x:v>0.03336951186632839</x:v>
      </x:c>
      <x:c r="H84" s="7" t="str">
        <x:v>World Bank API / UN World Population Prospects</x:v>
      </x:c>
      <x:c r="I84" s="7" t="str">
        <x:v>https://api.worldbank.org/v2/</x:v>
      </x:c>
      <x:c r="J84" s="7" t="str">
        <x:v>Ages 15-19 split 60% to 0-17 and 40% to 18-29; age 80+ is sex total minus ages 0-79</x:v>
      </x:c>
    </x:row>
    <x:row r="85" ht="24" hidden="0" customHeight="1">
      <x:c r="A85" s="7" t="str">
        <x:v>Ghana</x:v>
      </x:c>
      <x:c r="B85" s="7" t="str">
        <x:v>GHA</x:v>
      </x:c>
      <x:c r="C85" s="7" t="n">
        <x:v>2024</x:v>
      </x:c>
      <x:c r="D85" s="7" t="str">
        <x:v>60+</x:v>
      </x:c>
      <x:c r="E85" s="7" t="str">
        <x:v>Male</x:v>
      </x:c>
      <x:c r="F85" s="7" t="n">
        <x:v>962562</x:v>
      </x:c>
      <x:c r="G85" s="7" t="n">
        <x:v>0.027959172303792554</x:v>
      </x:c>
      <x:c r="H85" s="7" t="str">
        <x:v>World Bank API / UN World Population Prospects</x:v>
      </x:c>
      <x:c r="I85" s="7" t="str">
        <x:v>https://api.worldbank.org/v2/</x:v>
      </x:c>
      <x:c r="J85" s="7" t="str">
        <x:v>Ages 15-19 split 60% to 0-17 and 40% to 18-29; age 80+ is sex total minus ages 0-79</x:v>
      </x:c>
    </x:row>
    <x:row r="86" ht="24" hidden="0" customHeight="1">
      <x:c r="A86" s="7" t="str">
        <x:v>Greece</x:v>
      </x:c>
      <x:c r="B86" s="7" t="str">
        <x:v>GRC</x:v>
      </x:c>
      <x:c r="C86" s="7" t="n">
        <x:v>2024</x:v>
      </x:c>
      <x:c r="D86" s="7" t="str">
        <x:v>0-17</x:v>
      </x:c>
      <x:c r="E86" s="7" t="str">
        <x:v>Female</x:v>
      </x:c>
      <x:c r="F86" s="7" t="n">
        <x:v>826815.4</x:v>
      </x:c>
      <x:c r="G86" s="7" t="n">
        <x:v>0.07946225392195815</x:v>
      </x:c>
      <x:c r="H86" s="7" t="str">
        <x:v>World Bank API / UN World Population Prospects</x:v>
      </x:c>
      <x:c r="I86" s="7" t="str">
        <x:v>https://api.worldbank.org/v2/</x:v>
      </x:c>
      <x:c r="J86" s="7" t="str">
        <x:v>Ages 15-19 split 60% to 0-17 and 40% to 18-29; age 80+ is sex total minus ages 0-79</x:v>
      </x:c>
    </x:row>
    <x:row r="87" ht="24" hidden="0" customHeight="1">
      <x:c r="A87" s="7" t="str">
        <x:v>Greece</x:v>
      </x:c>
      <x:c r="B87" s="7" t="str">
        <x:v>GRC</x:v>
      </x:c>
      <x:c r="C87" s="7" t="n">
        <x:v>2024</x:v>
      </x:c>
      <x:c r="D87" s="7" t="str">
        <x:v>18-29</x:v>
      </x:c>
      <x:c r="E87" s="7" t="str">
        <x:v>Female</x:v>
      </x:c>
      <x:c r="F87" s="7" t="n">
        <x:v>605118.6</x:v>
      </x:c>
      <x:c r="G87" s="7" t="n">
        <x:v>0.05815577194873223</x:v>
      </x:c>
      <x:c r="H87" s="7" t="str">
        <x:v>World Bank API / UN World Population Prospects</x:v>
      </x:c>
      <x:c r="I87" s="7" t="str">
        <x:v>https://api.worldbank.org/v2/</x:v>
      </x:c>
      <x:c r="J87" s="7" t="str">
        <x:v>Ages 15-19 split 60% to 0-17 and 40% to 18-29; age 80+ is sex total minus ages 0-79</x:v>
      </x:c>
    </x:row>
    <x:row r="88" ht="24" hidden="0" customHeight="1">
      <x:c r="A88" s="7" t="str">
        <x:v>Greece</x:v>
      </x:c>
      <x:c r="B88" s="7" t="str">
        <x:v>GRC</x:v>
      </x:c>
      <x:c r="C88" s="7" t="n">
        <x:v>2024</x:v>
      </x:c>
      <x:c r="D88" s="7" t="str">
        <x:v>30-39</x:v>
      </x:c>
      <x:c r="E88" s="7" t="str">
        <x:v>Female</x:v>
      </x:c>
      <x:c r="F88" s="7" t="n">
        <x:v>555546</x:v>
      </x:c>
      <x:c r="G88" s="7" t="n">
        <x:v>0.05339152768239217</x:v>
      </x:c>
      <x:c r="H88" s="7" t="str">
        <x:v>World Bank API / UN World Population Prospects</x:v>
      </x:c>
      <x:c r="I88" s="7" t="str">
        <x:v>https://api.worldbank.org/v2/</x:v>
      </x:c>
      <x:c r="J88" s="7" t="str">
        <x:v>Ages 15-19 split 60% to 0-17 and 40% to 18-29; age 80+ is sex total minus ages 0-79</x:v>
      </x:c>
    </x:row>
    <x:row r="89" ht="24" hidden="0" customHeight="1">
      <x:c r="A89" s="7" t="str">
        <x:v>Greece</x:v>
      </x:c>
      <x:c r="B89" s="7" t="str">
        <x:v>GRC</x:v>
      </x:c>
      <x:c r="C89" s="7" t="n">
        <x:v>2024</x:v>
      </x:c>
      <x:c r="D89" s="7" t="str">
        <x:v>40-49</x:v>
      </x:c>
      <x:c r="E89" s="7" t="str">
        <x:v>Female</x:v>
      </x:c>
      <x:c r="F89" s="7" t="n">
        <x:v>772867</x:v>
      </x:c>
      <x:c r="G89" s="7" t="n">
        <x:v>0.07427746725799014</x:v>
      </x:c>
      <x:c r="H89" s="7" t="str">
        <x:v>World Bank API / UN World Population Prospects</x:v>
      </x:c>
      <x:c r="I89" s="7" t="str">
        <x:v>https://api.worldbank.org/v2/</x:v>
      </x:c>
      <x:c r="J89" s="7" t="str">
        <x:v>Ages 15-19 split 60% to 0-17 and 40% to 18-29; age 80+ is sex total minus ages 0-79</x:v>
      </x:c>
    </x:row>
    <x:row r="90" ht="24" hidden="0" customHeight="1">
      <x:c r="A90" s="7" t="str">
        <x:v>Greece</x:v>
      </x:c>
      <x:c r="B90" s="7" t="str">
        <x:v>GRC</x:v>
      </x:c>
      <x:c r="C90" s="7" t="n">
        <x:v>2024</x:v>
      </x:c>
      <x:c r="D90" s="7" t="str">
        <x:v>50-59</x:v>
      </x:c>
      <x:c r="E90" s="7" t="str">
        <x:v>Female</x:v>
      </x:c>
      <x:c r="F90" s="7" t="n">
        <x:v>816843</x:v>
      </x:c>
      <x:c r="G90" s="7" t="n">
        <x:v>0.07850384243009269</x:v>
      </x:c>
      <x:c r="H90" s="7" t="str">
        <x:v>World Bank API / UN World Population Prospects</x:v>
      </x:c>
      <x:c r="I90" s="7" t="str">
        <x:v>https://api.worldbank.org/v2/</x:v>
      </x:c>
      <x:c r="J90" s="7" t="str">
        <x:v>Ages 15-19 split 60% to 0-17 and 40% to 18-29; age 80+ is sex total minus ages 0-79</x:v>
      </x:c>
    </x:row>
    <x:row r="91" ht="24" hidden="0" customHeight="1">
      <x:c r="A91" s="7" t="str">
        <x:v>Greece</x:v>
      </x:c>
      <x:c r="B91" s="7" t="str">
        <x:v>GRC</x:v>
      </x:c>
      <x:c r="C91" s="7" t="n">
        <x:v>2024</x:v>
      </x:c>
      <x:c r="D91" s="7" t="str">
        <x:v>60+</x:v>
      </x:c>
      <x:c r="E91" s="7" t="str">
        <x:v>Female</x:v>
      </x:c>
      <x:c r="F91" s="7" t="n">
        <x:v>1787820</x:v>
      </x:c>
      <x:c r="G91" s="7" t="n">
        <x:v>0.1718209491583674</x:v>
      </x:c>
      <x:c r="H91" s="7" t="str">
        <x:v>World Bank API / UN World Population Prospects</x:v>
      </x:c>
      <x:c r="I91" s="7" t="str">
        <x:v>https://api.worldbank.org/v2/</x:v>
      </x:c>
      <x:c r="J91" s="7" t="str">
        <x:v>Ages 15-19 split 60% to 0-17 and 40% to 18-29; age 80+ is sex total minus ages 0-79</x:v>
      </x:c>
    </x:row>
    <x:row r="92" ht="24" hidden="0" customHeight="1">
      <x:c r="A92" s="7" t="str">
        <x:v>Greece</x:v>
      </x:c>
      <x:c r="B92" s="7" t="str">
        <x:v>GRC</x:v>
      </x:c>
      <x:c r="C92" s="7" t="n">
        <x:v>2024</x:v>
      </x:c>
      <x:c r="D92" s="7" t="str">
        <x:v>0-17</x:v>
      </x:c>
      <x:c r="E92" s="7" t="str">
        <x:v>Male</x:v>
      </x:c>
      <x:c r="F92" s="7" t="n">
        <x:v>876873.6</x:v>
      </x:c>
      <x:c r="G92" s="7" t="n">
        <x:v>0.08427316745752625</x:v>
      </x:c>
      <x:c r="H92" s="7" t="str">
        <x:v>World Bank API / UN World Population Prospects</x:v>
      </x:c>
      <x:c r="I92" s="7" t="str">
        <x:v>https://api.worldbank.org/v2/</x:v>
      </x:c>
      <x:c r="J92" s="7" t="str">
        <x:v>Ages 15-19 split 60% to 0-17 and 40% to 18-29; age 80+ is sex total minus ages 0-79</x:v>
      </x:c>
    </x:row>
    <x:row r="93" ht="24" hidden="0" customHeight="1">
      <x:c r="A93" s="7" t="str">
        <x:v>Greece</x:v>
      </x:c>
      <x:c r="B93" s="7" t="str">
        <x:v>GRC</x:v>
      </x:c>
      <x:c r="C93" s="7" t="n">
        <x:v>2024</x:v>
      </x:c>
      <x:c r="D93" s="7" t="str">
        <x:v>18-29</x:v>
      </x:c>
      <x:c r="E93" s="7" t="str">
        <x:v>Male</x:v>
      </x:c>
      <x:c r="F93" s="7" t="n">
        <x:v>666557.4</x:v>
      </x:c>
      <x:c r="G93" s="7" t="n">
        <x:v>0.06406043401267106</x:v>
      </x:c>
      <x:c r="H93" s="7" t="str">
        <x:v>World Bank API / UN World Population Prospects</x:v>
      </x:c>
      <x:c r="I93" s="7" t="str">
        <x:v>https://api.worldbank.org/v2/</x:v>
      </x:c>
      <x:c r="J93" s="7" t="str">
        <x:v>Ages 15-19 split 60% to 0-17 and 40% to 18-29; age 80+ is sex total minus ages 0-79</x:v>
      </x:c>
    </x:row>
    <x:row r="94" ht="24" hidden="0" customHeight="1">
      <x:c r="A94" s="7" t="str">
        <x:v>Greece</x:v>
      </x:c>
      <x:c r="B94" s="7" t="str">
        <x:v>GRC</x:v>
      </x:c>
      <x:c r="C94" s="7" t="n">
        <x:v>2024</x:v>
      </x:c>
      <x:c r="D94" s="7" t="str">
        <x:v>30-39</x:v>
      </x:c>
      <x:c r="E94" s="7" t="str">
        <x:v>Male</x:v>
      </x:c>
      <x:c r="F94" s="7" t="n">
        <x:v>569007</x:v>
      </x:c>
      <x:c r="G94" s="7" t="n">
        <x:v>0.05468521597126957</x:v>
      </x:c>
      <x:c r="H94" s="7" t="str">
        <x:v>World Bank API / UN World Population Prospects</x:v>
      </x:c>
      <x:c r="I94" s="7" t="str">
        <x:v>https://api.worldbank.org/v2/</x:v>
      </x:c>
      <x:c r="J94" s="7" t="str">
        <x:v>Ages 15-19 split 60% to 0-17 and 40% to 18-29; age 80+ is sex total minus ages 0-79</x:v>
      </x:c>
    </x:row>
    <x:row r="95" ht="24" hidden="0" customHeight="1">
      <x:c r="A95" s="7" t="str">
        <x:v>Greece</x:v>
      </x:c>
      <x:c r="B95" s="7" t="str">
        <x:v>GRC</x:v>
      </x:c>
      <x:c r="C95" s="7" t="n">
        <x:v>2024</x:v>
      </x:c>
      <x:c r="D95" s="7" t="str">
        <x:v>40-49</x:v>
      </x:c>
      <x:c r="E95" s="7" t="str">
        <x:v>Male</x:v>
      </x:c>
      <x:c r="F95" s="7" t="n">
        <x:v>765021</x:v>
      </x:c>
      <x:c r="G95" s="7" t="n">
        <x:v>0.07352341642116286</x:v>
      </x:c>
      <x:c r="H95" s="7" t="str">
        <x:v>World Bank API / UN World Population Prospects</x:v>
      </x:c>
      <x:c r="I95" s="7" t="str">
        <x:v>https://api.worldbank.org/v2/</x:v>
      </x:c>
      <x:c r="J95" s="7" t="str">
        <x:v>Ages 15-19 split 60% to 0-17 and 40% to 18-29; age 80+ is sex total minus ages 0-79</x:v>
      </x:c>
    </x:row>
    <x:row r="96" ht="24" hidden="0" customHeight="1">
      <x:c r="A96" s="7" t="str">
        <x:v>Greece</x:v>
      </x:c>
      <x:c r="B96" s="7" t="str">
        <x:v>GRC</x:v>
      </x:c>
      <x:c r="C96" s="7" t="n">
        <x:v>2024</x:v>
      </x:c>
      <x:c r="D96" s="7" t="str">
        <x:v>50-59</x:v>
      </x:c>
      <x:c r="E96" s="7" t="str">
        <x:v>Male</x:v>
      </x:c>
      <x:c r="F96" s="7" t="n">
        <x:v>759240</x:v>
      </x:c>
      <x:c r="G96" s="7" t="n">
        <x:v>0.07296782530623824</x:v>
      </x:c>
      <x:c r="H96" s="7" t="str">
        <x:v>World Bank API / UN World Population Prospects</x:v>
      </x:c>
      <x:c r="I96" s="7" t="str">
        <x:v>https://api.worldbank.org/v2/</x:v>
      </x:c>
      <x:c r="J96" s="7" t="str">
        <x:v>Ages 15-19 split 60% to 0-17 and 40% to 18-29; age 80+ is sex total minus ages 0-79</x:v>
      </x:c>
    </x:row>
    <x:row r="97" ht="24" hidden="0" customHeight="1">
      <x:c r="A97" s="7" t="str">
        <x:v>Greece</x:v>
      </x:c>
      <x:c r="B97" s="7" t="str">
        <x:v>GRC</x:v>
      </x:c>
      <x:c r="C97" s="7" t="n">
        <x:v>2024</x:v>
      </x:c>
      <x:c r="D97" s="7" t="str">
        <x:v>60+</x:v>
      </x:c>
      <x:c r="E97" s="7" t="str">
        <x:v>Male</x:v>
      </x:c>
      <x:c r="F97" s="7" t="n">
        <x:v>1403425</x:v>
      </x:c>
      <x:c r="G97" s="7" t="n">
        <x:v>0.13487812843159924</x:v>
      </x:c>
      <x:c r="H97" s="7" t="str">
        <x:v>World Bank API / UN World Population Prospects</x:v>
      </x:c>
      <x:c r="I97" s="7" t="str">
        <x:v>https://api.worldbank.org/v2/</x:v>
      </x:c>
      <x:c r="J97" s="7" t="str">
        <x:v>Ages 15-19 split 60% to 0-17 and 40% to 18-29; age 80+ is sex total minus ages 0-79</x:v>
      </x:c>
    </x:row>
    <x:row r="98" ht="24" hidden="0" customHeight="1">
      <x:c r="A98" s="7" t="str">
        <x:v>Greenland</x:v>
      </x:c>
      <x:c r="B98" s="7" t="str">
        <x:v>GRL</x:v>
      </x:c>
      <x:c r="C98" s="7" t="n">
        <x:v>2024</x:v>
      </x:c>
      <x:c r="D98" s="7" t="str">
        <x:v>0-17</x:v>
      </x:c>
      <x:c r="E98" s="7" t="str">
        <x:v>Female</x:v>
      </x:c>
      <x:c r="F98" s="7" t="n">
        <x:v>6775.8</x:v>
      </x:c>
      <x:c r="G98" s="7" t="n">
        <x:v>0.11921669364487297</x:v>
      </x:c>
      <x:c r="H98" s="7" t="str">
        <x:v>World Bank API / UN World Population Prospects</x:v>
      </x:c>
      <x:c r="I98" s="7" t="str">
        <x:v>https://api.worldbank.org/v2/</x:v>
      </x:c>
      <x:c r="J98" s="7" t="str">
        <x:v>Ages 15-19 split 60% to 0-17 and 40% to 18-29; age 80+ is sex total minus ages 0-79</x:v>
      </x:c>
    </x:row>
    <x:row r="99" ht="24" hidden="0" customHeight="1">
      <x:c r="A99" s="7" t="str">
        <x:v>Greenland</x:v>
      </x:c>
      <x:c r="B99" s="7" t="str">
        <x:v>GRL</x:v>
      </x:c>
      <x:c r="C99" s="7" t="n">
        <x:v>2024</x:v>
      </x:c>
      <x:c r="D99" s="7" t="str">
        <x:v>18-29</x:v>
      </x:c>
      <x:c r="E99" s="7" t="str">
        <x:v>Female</x:v>
      </x:c>
      <x:c r="F99" s="7" t="n">
        <x:v>4460.2</x:v>
      </x:c>
      <x:c r="G99" s="7" t="n">
        <x:v>0.07847491026813991</x:v>
      </x:c>
      <x:c r="H99" s="7" t="str">
        <x:v>World Bank API / UN World Population Prospects</x:v>
      </x:c>
      <x:c r="I99" s="7" t="str">
        <x:v>https://api.worldbank.org/v2/</x:v>
      </x:c>
      <x:c r="J99" s="7" t="str">
        <x:v>Ages 15-19 split 60% to 0-17 and 40% to 18-29; age 80+ is sex total minus ages 0-79</x:v>
      </x:c>
    </x:row>
    <x:row r="100" ht="24" hidden="0" customHeight="1">
      <x:c r="A100" s="7" t="str">
        <x:v>Greenland</x:v>
      </x:c>
      <x:c r="B100" s="7" t="str">
        <x:v>GRL</x:v>
      </x:c>
      <x:c r="C100" s="7" t="n">
        <x:v>2024</x:v>
      </x:c>
      <x:c r="D100" s="7" t="str">
        <x:v>30-39</x:v>
      </x:c>
      <x:c r="E100" s="7" t="str">
        <x:v>Female</x:v>
      </x:c>
      <x:c r="F100" s="7" t="n">
        <x:v>4411</x:v>
      </x:c>
      <x:c r="G100" s="7" t="n">
        <x:v>0.07760926173551974</x:v>
      </x:c>
      <x:c r="H100" s="7" t="str">
        <x:v>World Bank API / UN World Population Prospects</x:v>
      </x:c>
      <x:c r="I100" s="7" t="str">
        <x:v>https://api.worldbank.org/v2/</x:v>
      </x:c>
      <x:c r="J100" s="7" t="str">
        <x:v>Ages 15-19 split 60% to 0-17 and 40% to 18-29; age 80+ is sex total minus ages 0-79</x:v>
      </x:c>
    </x:row>
    <x:row r="101" ht="24" hidden="0" customHeight="1">
      <x:c r="A101" s="7" t="str">
        <x:v>Greenland</x:v>
      </x:c>
      <x:c r="B101" s="7" t="str">
        <x:v>GRL</x:v>
      </x:c>
      <x:c r="C101" s="7" t="n">
        <x:v>2024</x:v>
      </x:c>
      <x:c r="D101" s="7" t="str">
        <x:v>40-49</x:v>
      </x:c>
      <x:c r="E101" s="7" t="str">
        <x:v>Female</x:v>
      </x:c>
      <x:c r="F101" s="7" t="n">
        <x:v>3060</x:v>
      </x:c>
      <x:c r="G101" s="7" t="n">
        <x:v>0.05383911605320572</x:v>
      </x:c>
      <x:c r="H101" s="7" t="str">
        <x:v>World Bank API / UN World Population Prospects</x:v>
      </x:c>
      <x:c r="I101" s="7" t="str">
        <x:v>https://api.worldbank.org/v2/</x:v>
      </x:c>
      <x:c r="J101" s="7" t="str">
        <x:v>Ages 15-19 split 60% to 0-17 and 40% to 18-29; age 80+ is sex total minus ages 0-79</x:v>
      </x:c>
    </x:row>
    <x:row r="102" ht="24" hidden="0" customHeight="1">
      <x:c r="A102" s="7" t="str">
        <x:v>Greenland</x:v>
      </x:c>
      <x:c r="B102" s="7" t="str">
        <x:v>GRL</x:v>
      </x:c>
      <x:c r="C102" s="7" t="n">
        <x:v>2024</x:v>
      </x:c>
      <x:c r="D102" s="7" t="str">
        <x:v>50-59</x:v>
      </x:c>
      <x:c r="E102" s="7" t="str">
        <x:v>Female</x:v>
      </x:c>
      <x:c r="F102" s="7" t="n">
        <x:v>3511</x:v>
      </x:c>
      <x:c r="G102" s="7" t="n">
        <x:v>0.061774227602223945</x:v>
      </x:c>
      <x:c r="H102" s="7" t="str">
        <x:v>World Bank API / UN World Population Prospects</x:v>
      </x:c>
      <x:c r="I102" s="7" t="str">
        <x:v>https://api.worldbank.org/v2/</x:v>
      </x:c>
      <x:c r="J102" s="7" t="str">
        <x:v>Ages 15-19 split 60% to 0-17 and 40% to 18-29; age 80+ is sex total minus ages 0-79</x:v>
      </x:c>
    </x:row>
    <x:row r="103" ht="24" hidden="0" customHeight="1">
      <x:c r="A103" s="7" t="str">
        <x:v>Greenland</x:v>
      </x:c>
      <x:c r="B103" s="7" t="str">
        <x:v>GRL</x:v>
      </x:c>
      <x:c r="C103" s="7" t="n">
        <x:v>2024</x:v>
      </x:c>
      <x:c r="D103" s="7" t="str">
        <x:v>60+</x:v>
      </x:c>
      <x:c r="E103" s="7" t="str">
        <x:v>Female</x:v>
      </x:c>
      <x:c r="F103" s="7" t="n">
        <x:v>4734</x:v>
      </x:c>
      <x:c r="G103" s="7" t="n">
        <x:v>0.0832922795411359</x:v>
      </x:c>
      <x:c r="H103" s="7" t="str">
        <x:v>World Bank API / UN World Population Prospects</x:v>
      </x:c>
      <x:c r="I103" s="7" t="str">
        <x:v>https://api.worldbank.org/v2/</x:v>
      </x:c>
      <x:c r="J103" s="7" t="str">
        <x:v>Ages 15-19 split 60% to 0-17 and 40% to 18-29; age 80+ is sex total minus ages 0-79</x:v>
      </x:c>
    </x:row>
    <x:row r="104" ht="24" hidden="0" customHeight="1">
      <x:c r="A104" s="7" t="str">
        <x:v>Greenland</x:v>
      </x:c>
      <x:c r="B104" s="7" t="str">
        <x:v>GRL</x:v>
      </x:c>
      <x:c r="C104" s="7" t="n">
        <x:v>2024</x:v>
      </x:c>
      <x:c r="D104" s="7" t="str">
        <x:v>0-17</x:v>
      </x:c>
      <x:c r="E104" s="7" t="str">
        <x:v>Male</x:v>
      </x:c>
      <x:c r="F104" s="7" t="n">
        <x:v>7159.8</x:v>
      </x:c>
      <x:c r="G104" s="7" t="n">
        <x:v>0.1259729748750792</x:v>
      </x:c>
      <x:c r="H104" s="7" t="str">
        <x:v>World Bank API / UN World Population Prospects</x:v>
      </x:c>
      <x:c r="I104" s="7" t="str">
        <x:v>https://api.worldbank.org/v2/</x:v>
      </x:c>
      <x:c r="J104" s="7" t="str">
        <x:v>Ages 15-19 split 60% to 0-17 and 40% to 18-29; age 80+ is sex total minus ages 0-79</x:v>
      </x:c>
    </x:row>
    <x:row r="105" ht="24" hidden="0" customHeight="1">
      <x:c r="A105" s="7" t="str">
        <x:v>Greenland</x:v>
      </x:c>
      <x:c r="B105" s="7" t="str">
        <x:v>GRL</x:v>
      </x:c>
      <x:c r="C105" s="7" t="n">
        <x:v>2024</x:v>
      </x:c>
      <x:c r="D105" s="7" t="str">
        <x:v>18-29</x:v>
      </x:c>
      <x:c r="E105" s="7" t="str">
        <x:v>Male</x:v>
      </x:c>
      <x:c r="F105" s="7" t="n">
        <x:v>4674.2</x:v>
      </x:c>
      <x:c r="G105" s="7" t="n">
        <x:v>0.08224012949539024</x:v>
      </x:c>
      <x:c r="H105" s="7" t="str">
        <x:v>World Bank API / UN World Population Prospects</x:v>
      </x:c>
      <x:c r="I105" s="7" t="str">
        <x:v>https://api.worldbank.org/v2/</x:v>
      </x:c>
      <x:c r="J105" s="7" t="str">
        <x:v>Ages 15-19 split 60% to 0-17 and 40% to 18-29; age 80+ is sex total minus ages 0-79</x:v>
      </x:c>
    </x:row>
    <x:row r="106" ht="24" hidden="0" customHeight="1">
      <x:c r="A106" s="7" t="str">
        <x:v>Greenland</x:v>
      </x:c>
      <x:c r="B106" s="7" t="str">
        <x:v>GRL</x:v>
      </x:c>
      <x:c r="C106" s="7" t="n">
        <x:v>2024</x:v>
      </x:c>
      <x:c r="D106" s="7" t="str">
        <x:v>30-39</x:v>
      </x:c>
      <x:c r="E106" s="7" t="str">
        <x:v>Male</x:v>
      </x:c>
      <x:c r="F106" s="7" t="n">
        <x:v>4695</x:v>
      </x:c>
      <x:c r="G106" s="7" t="n">
        <x:v>0.08260609472869308</x:v>
      </x:c>
      <x:c r="H106" s="7" t="str">
        <x:v>World Bank API / UN World Population Prospects</x:v>
      </x:c>
      <x:c r="I106" s="7" t="str">
        <x:v>https://api.worldbank.org/v2/</x:v>
      </x:c>
      <x:c r="J106" s="7" t="str">
        <x:v>Ages 15-19 split 60% to 0-17 and 40% to 18-29; age 80+ is sex total minus ages 0-79</x:v>
      </x:c>
    </x:row>
    <x:row r="107" ht="24" hidden="0" customHeight="1">
      <x:c r="A107" s="7" t="str">
        <x:v>Greenland</x:v>
      </x:c>
      <x:c r="B107" s="7" t="str">
        <x:v>GRL</x:v>
      </x:c>
      <x:c r="C107" s="7" t="n">
        <x:v>2024</x:v>
      </x:c>
      <x:c r="D107" s="7" t="str">
        <x:v>40-49</x:v>
      </x:c>
      <x:c r="E107" s="7" t="str">
        <x:v>Male</x:v>
      </x:c>
      <x:c r="F107" s="7" t="n">
        <x:v>3566</x:v>
      </x:c>
      <x:c r="G107" s="7" t="n">
        <x:v>0.06274192413259203</x:v>
      </x:c>
      <x:c r="H107" s="7" t="str">
        <x:v>World Bank API / UN World Population Prospects</x:v>
      </x:c>
      <x:c r="I107" s="7" t="str">
        <x:v>https://api.worldbank.org/v2/</x:v>
      </x:c>
      <x:c r="J107" s="7" t="str">
        <x:v>Ages 15-19 split 60% to 0-17 and 40% to 18-29; age 80+ is sex total minus ages 0-79</x:v>
      </x:c>
    </x:row>
    <x:row r="108" ht="24" hidden="0" customHeight="1">
      <x:c r="A108" s="7" t="str">
        <x:v>Greenland</x:v>
      </x:c>
      <x:c r="B108" s="7" t="str">
        <x:v>GRL</x:v>
      </x:c>
      <x:c r="C108" s="7" t="n">
        <x:v>2024</x:v>
      </x:c>
      <x:c r="D108" s="7" t="str">
        <x:v>50-59</x:v>
      </x:c>
      <x:c r="E108" s="7" t="str">
        <x:v>Male</x:v>
      </x:c>
      <x:c r="F108" s="7" t="n">
        <x:v>4181</x:v>
      </x:c>
      <x:c r="G108" s="7" t="n">
        <x:v>0.07356253079034415</x:v>
      </x:c>
      <x:c r="H108" s="7" t="str">
        <x:v>World Bank API / UN World Population Prospects</x:v>
      </x:c>
      <x:c r="I108" s="7" t="str">
        <x:v>https://api.worldbank.org/v2/</x:v>
      </x:c>
      <x:c r="J108" s="7" t="str">
        <x:v>Ages 15-19 split 60% to 0-17 and 40% to 18-29; age 80+ is sex total minus ages 0-79</x:v>
      </x:c>
    </x:row>
    <x:row r="109" ht="24" hidden="0" customHeight="1">
      <x:c r="A109" s="7" t="str">
        <x:v>Greenland</x:v>
      </x:c>
      <x:c r="B109" s="7" t="str">
        <x:v>GRL</x:v>
      </x:c>
      <x:c r="C109" s="7" t="n">
        <x:v>2024</x:v>
      </x:c>
      <x:c r="D109" s="7" t="str">
        <x:v>60+</x:v>
      </x:c>
      <x:c r="E109" s="7" t="str">
        <x:v>Male</x:v>
      </x:c>
      <x:c r="F109" s="7" t="n">
        <x:v>5608</x:v>
      </x:c>
      <x:c r="G109" s="7" t="n">
        <x:v>0.09866985713280316</x:v>
      </x:c>
      <x:c r="H109" s="7" t="str">
        <x:v>World Bank API / UN World Population Prospects</x:v>
      </x:c>
      <x:c r="I109" s="7" t="str">
        <x:v>https://api.worldbank.org/v2/</x:v>
      </x:c>
      <x:c r="J109" s="7" t="str">
        <x:v>Ages 15-19 split 60% to 0-17 and 40% to 18-29; age 80+ is sex total minus ages 0-79</x:v>
      </x:c>
    </x:row>
    <x:row r="110" ht="24" hidden="0" customHeight="1">
      <x:c r="A110" s="7" t="str">
        <x:v>Indonesia</x:v>
      </x:c>
      <x:c r="B110" s="7" t="str">
        <x:v>IDN</x:v>
      </x:c>
      <x:c r="C110" s="7" t="n">
        <x:v>2024</x:v>
      </x:c>
      <x:c r="D110" s="7" t="str">
        <x:v>0-17</x:v>
      </x:c>
      <x:c r="E110" s="7" t="str">
        <x:v>Female</x:v>
      </x:c>
      <x:c r="F110" s="7" t="n">
        <x:v>40765464.6</x:v>
      </x:c>
      <x:c r="G110" s="7" t="n">
        <x:v>0.14379964768235584</x:v>
      </x:c>
      <x:c r="H110" s="7" t="str">
        <x:v>World Bank API / UN World Population Prospects</x:v>
      </x:c>
      <x:c r="I110" s="7" t="str">
        <x:v>https://api.worldbank.org/v2/</x:v>
      </x:c>
      <x:c r="J110" s="7" t="str">
        <x:v>Ages 15-19 split 60% to 0-17 and 40% to 18-29; age 80+ is sex total minus ages 0-79</x:v>
      </x:c>
    </x:row>
    <x:row r="111" ht="24" hidden="0" customHeight="1">
      <x:c r="A111" s="7" t="str">
        <x:v>Indonesia</x:v>
      </x:c>
      <x:c r="B111" s="7" t="str">
        <x:v>IDN</x:v>
      </x:c>
      <x:c r="C111" s="7" t="n">
        <x:v>2024</x:v>
      </x:c>
      <x:c r="D111" s="7" t="str">
        <x:v>18-29</x:v>
      </x:c>
      <x:c r="E111" s="7" t="str">
        <x:v>Female</x:v>
      </x:c>
      <x:c r="F111" s="7" t="n">
        <x:v>25998503.4</x:v>
      </x:c>
      <x:c r="G111" s="7" t="n">
        <x:v>0.0917093835645511</x:v>
      </x:c>
      <x:c r="H111" s="7" t="str">
        <x:v>World Bank API / UN World Population Prospects</x:v>
      </x:c>
      <x:c r="I111" s="7" t="str">
        <x:v>https://api.worldbank.org/v2/</x:v>
      </x:c>
      <x:c r="J111" s="7" t="str">
        <x:v>Ages 15-19 split 60% to 0-17 and 40% to 18-29; age 80+ is sex total minus ages 0-79</x:v>
      </x:c>
    </x:row>
    <x:row r="112" ht="24" hidden="0" customHeight="1">
      <x:c r="A112" s="7" t="str">
        <x:v>Indonesia</x:v>
      </x:c>
      <x:c r="B112" s="7" t="str">
        <x:v>IDN</x:v>
      </x:c>
      <x:c r="C112" s="7" t="n">
        <x:v>2024</x:v>
      </x:c>
      <x:c r="D112" s="7" t="str">
        <x:v>30-39</x:v>
      </x:c>
      <x:c r="E112" s="7" t="str">
        <x:v>Female</x:v>
      </x:c>
      <x:c r="F112" s="7" t="n">
        <x:v>20473580</x:v>
      </x:c>
      <x:c r="G112" s="7" t="n">
        <x:v>0.07222028792470886</x:v>
      </x:c>
      <x:c r="H112" s="7" t="str">
        <x:v>World Bank API / UN World Population Prospects</x:v>
      </x:c>
      <x:c r="I112" s="7" t="str">
        <x:v>https://api.worldbank.org/v2/</x:v>
      </x:c>
      <x:c r="J112" s="7" t="str">
        <x:v>Ages 15-19 split 60% to 0-17 and 40% to 18-29; age 80+ is sex total minus ages 0-79</x:v>
      </x:c>
    </x:row>
    <x:row r="113" ht="24" hidden="0" customHeight="1">
      <x:c r="A113" s="7" t="str">
        <x:v>Indonesia</x:v>
      </x:c>
      <x:c r="B113" s="7" t="str">
        <x:v>IDN</x:v>
      </x:c>
      <x:c r="C113" s="7" t="n">
        <x:v>2024</x:v>
      </x:c>
      <x:c r="D113" s="7" t="str">
        <x:v>40-49</x:v>
      </x:c>
      <x:c r="E113" s="7" t="str">
        <x:v>Female</x:v>
      </x:c>
      <x:c r="F113" s="7" t="n">
        <x:v>19707702</x:v>
      </x:c>
      <x:c r="G113" s="7" t="n">
        <x:v>0.06951866321250903</x:v>
      </x:c>
      <x:c r="H113" s="7" t="str">
        <x:v>World Bank API / UN World Population Prospects</x:v>
      </x:c>
      <x:c r="I113" s="7" t="str">
        <x:v>https://api.worldbank.org/v2/</x:v>
      </x:c>
      <x:c r="J113" s="7" t="str">
        <x:v>Ages 15-19 split 60% to 0-17 and 40% to 18-29; age 80+ is sex total minus ages 0-79</x:v>
      </x:c>
    </x:row>
    <x:row r="114" ht="24" hidden="0" customHeight="1">
      <x:c r="A114" s="7" t="str">
        <x:v>Indonesia</x:v>
      </x:c>
      <x:c r="B114" s="7" t="str">
        <x:v>IDN</x:v>
      </x:c>
      <x:c r="C114" s="7" t="n">
        <x:v>2024</x:v>
      </x:c>
      <x:c r="D114" s="7" t="str">
        <x:v>50-59</x:v>
      </x:c>
      <x:c r="E114" s="7" t="str">
        <x:v>Female</x:v>
      </x:c>
      <x:c r="F114" s="7" t="n">
        <x:v>16234430</x:v>
      </x:c>
      <x:c r="G114" s="7" t="n">
        <x:v>0.05726674127795585</x:v>
      </x:c>
      <x:c r="H114" s="7" t="str">
        <x:v>World Bank API / UN World Population Prospects</x:v>
      </x:c>
      <x:c r="I114" s="7" t="str">
        <x:v>https://api.worldbank.org/v2/</x:v>
      </x:c>
      <x:c r="J114" s="7" t="str">
        <x:v>Ages 15-19 split 60% to 0-17 and 40% to 18-29; age 80+ is sex total minus ages 0-79</x:v>
      </x:c>
    </x:row>
    <x:row r="115" ht="24" hidden="0" customHeight="1">
      <x:c r="A115" s="7" t="str">
        <x:v>Indonesia</x:v>
      </x:c>
      <x:c r="B115" s="7" t="str">
        <x:v>IDN</x:v>
      </x:c>
      <x:c r="C115" s="7" t="n">
        <x:v>2024</x:v>
      </x:c>
      <x:c r="D115" s="7" t="str">
        <x:v>60+</x:v>
      </x:c>
      <x:c r="E115" s="7" t="str">
        <x:v>Female</x:v>
      </x:c>
      <x:c r="F115" s="7" t="n">
        <x:v>17900335</x:v>
      </x:c>
      <x:c r="G115" s="7" t="n">
        <x:v>0.06314319956005464</x:v>
      </x:c>
      <x:c r="H115" s="7" t="str">
        <x:v>World Bank API / UN World Population Prospects</x:v>
      </x:c>
      <x:c r="I115" s="7" t="str">
        <x:v>https://api.worldbank.org/v2/</x:v>
      </x:c>
      <x:c r="J115" s="7" t="str">
        <x:v>Ages 15-19 split 60% to 0-17 and 40% to 18-29; age 80+ is sex total minus ages 0-79</x:v>
      </x:c>
    </x:row>
    <x:row r="116" ht="24" hidden="0" customHeight="1">
      <x:c r="A116" s="7" t="str">
        <x:v>Indonesia</x:v>
      </x:c>
      <x:c r="B116" s="7" t="str">
        <x:v>IDN</x:v>
      </x:c>
      <x:c r="C116" s="7" t="n">
        <x:v>2024</x:v>
      </x:c>
      <x:c r="D116" s="7" t="str">
        <x:v>0-17</x:v>
      </x:c>
      <x:c r="E116" s="7" t="str">
        <x:v>Male</x:v>
      </x:c>
      <x:c r="F116" s="7" t="n">
        <x:v>42968481.8</x:v>
      </x:c>
      <x:c r="G116" s="7" t="n">
        <x:v>0.15157076228405644</x:v>
      </x:c>
      <x:c r="H116" s="7" t="str">
        <x:v>World Bank API / UN World Population Prospects</x:v>
      </x:c>
      <x:c r="I116" s="7" t="str">
        <x:v>https://api.worldbank.org/v2/</x:v>
      </x:c>
      <x:c r="J116" s="7" t="str">
        <x:v>Ages 15-19 split 60% to 0-17 and 40% to 18-29; age 80+ is sex total minus ages 0-79</x:v>
      </x:c>
    </x:row>
    <x:row r="117" ht="24" hidden="0" customHeight="1">
      <x:c r="A117" s="7" t="str">
        <x:v>Indonesia</x:v>
      </x:c>
      <x:c r="B117" s="7" t="str">
        <x:v>IDN</x:v>
      </x:c>
      <x:c r="C117" s="7" t="n">
        <x:v>2024</x:v>
      </x:c>
      <x:c r="D117" s="7" t="str">
        <x:v>18-29</x:v>
      </x:c>
      <x:c r="E117" s="7" t="str">
        <x:v>Male</x:v>
      </x:c>
      <x:c r="F117" s="7" t="n">
        <x:v>27300198.2</x:v>
      </x:c>
      <x:c r="G117" s="7" t="n">
        <x:v>0.09630109508965304</x:v>
      </x:c>
      <x:c r="H117" s="7" t="str">
        <x:v>World Bank API / UN World Population Prospects</x:v>
      </x:c>
      <x:c r="I117" s="7" t="str">
        <x:v>https://api.worldbank.org/v2/</x:v>
      </x:c>
      <x:c r="J117" s="7" t="str">
        <x:v>Ages 15-19 split 60% to 0-17 and 40% to 18-29; age 80+ is sex total minus ages 0-79</x:v>
      </x:c>
    </x:row>
    <x:row r="118" ht="24" hidden="0" customHeight="1">
      <x:c r="A118" s="7" t="str">
        <x:v>Indonesia</x:v>
      </x:c>
      <x:c r="B118" s="7" t="str">
        <x:v>IDN</x:v>
      </x:c>
      <x:c r="C118" s="7" t="n">
        <x:v>2024</x:v>
      </x:c>
      <x:c r="D118" s="7" t="str">
        <x:v>30-39</x:v>
      </x:c>
      <x:c r="E118" s="7" t="str">
        <x:v>Male</x:v>
      </x:c>
      <x:c r="F118" s="7" t="n">
        <x:v>21397589</x:v>
      </x:c>
      <x:c r="G118" s="7" t="n">
        <x:v>0.07547971768858125</x:v>
      </x:c>
      <x:c r="H118" s="7" t="str">
        <x:v>World Bank API / UN World Population Prospects</x:v>
      </x:c>
      <x:c r="I118" s="7" t="str">
        <x:v>https://api.worldbank.org/v2/</x:v>
      </x:c>
      <x:c r="J118" s="7" t="str">
        <x:v>Ages 15-19 split 60% to 0-17 and 40% to 18-29; age 80+ is sex total minus ages 0-79</x:v>
      </x:c>
    </x:row>
    <x:row r="119" ht="24" hidden="0" customHeight="1">
      <x:c r="A119" s="7" t="str">
        <x:v>Indonesia</x:v>
      </x:c>
      <x:c r="B119" s="7" t="str">
        <x:v>IDN</x:v>
      </x:c>
      <x:c r="C119" s="7" t="n">
        <x:v>2024</x:v>
      </x:c>
      <x:c r="D119" s="7" t="str">
        <x:v>40-49</x:v>
      </x:c>
      <x:c r="E119" s="7" t="str">
        <x:v>Male</x:v>
      </x:c>
      <x:c r="F119" s="7" t="n">
        <x:v>20144812</x:v>
      </x:c>
      <x:c r="G119" s="7" t="n">
        <x:v>0.07106056306855617</x:v>
      </x:c>
      <x:c r="H119" s="7" t="str">
        <x:v>World Bank API / UN World Population Prospects</x:v>
      </x:c>
      <x:c r="I119" s="7" t="str">
        <x:v>https://api.worldbank.org/v2/</x:v>
      </x:c>
      <x:c r="J119" s="7" t="str">
        <x:v>Ages 15-19 split 60% to 0-17 and 40% to 18-29; age 80+ is sex total minus ages 0-79</x:v>
      </x:c>
    </x:row>
    <x:row r="120" ht="24" hidden="0" customHeight="1">
      <x:c r="A120" s="7" t="str">
        <x:v>Indonesia</x:v>
      </x:c>
      <x:c r="B120" s="7" t="str">
        <x:v>IDN</x:v>
      </x:c>
      <x:c r="C120" s="7" t="n">
        <x:v>2024</x:v>
      </x:c>
      <x:c r="D120" s="7" t="str">
        <x:v>50-59</x:v>
      </x:c>
      <x:c r="E120" s="7" t="str">
        <x:v>Male</x:v>
      </x:c>
      <x:c r="F120" s="7" t="n">
        <x:v>15923425</x:v>
      </x:c>
      <x:c r="G120" s="7" t="n">
        <x:v>0.05616967517393183</x:v>
      </x:c>
      <x:c r="H120" s="7" t="str">
        <x:v>World Bank API / UN World Population Prospects</x:v>
      </x:c>
      <x:c r="I120" s="7" t="str">
        <x:v>https://api.worldbank.org/v2/</x:v>
      </x:c>
      <x:c r="J120" s="7" t="str">
        <x:v>Ages 15-19 split 60% to 0-17 and 40% to 18-29; age 80+ is sex total minus ages 0-79</x:v>
      </x:c>
    </x:row>
    <x:row r="121" ht="24" hidden="0" customHeight="1">
      <x:c r="A121" s="7" t="str">
        <x:v>Indonesia</x:v>
      </x:c>
      <x:c r="B121" s="7" t="str">
        <x:v>IDN</x:v>
      </x:c>
      <x:c r="C121" s="7" t="n">
        <x:v>2024</x:v>
      </x:c>
      <x:c r="D121" s="7" t="str">
        <x:v>60+</x:v>
      </x:c>
      <x:c r="E121" s="7" t="str">
        <x:v>Male</x:v>
      </x:c>
      <x:c r="F121" s="7" t="n">
        <x:v>14673410</x:v>
      </x:c>
      <x:c r="G121" s="7" t="n">
        <x:v>0.05176026347308591</x:v>
      </x:c>
      <x:c r="H121" s="7" t="str">
        <x:v>World Bank API / UN World Population Prospects</x:v>
      </x:c>
      <x:c r="I121" s="7" t="str">
        <x:v>https://api.worldbank.org/v2/</x:v>
      </x:c>
      <x:c r="J121" s="7" t="str">
        <x:v>Ages 15-19 split 60% to 0-17 and 40% to 18-29; age 80+ is sex total minus ages 0-79</x:v>
      </x:c>
    </x:row>
    <x:row r="122" ht="24" hidden="0" customHeight="1">
      <x:c r="A122" s="7" t="str">
        <x:v>Iran</x:v>
      </x:c>
      <x:c r="B122" s="7" t="str">
        <x:v>IRN</x:v>
      </x:c>
      <x:c r="C122" s="7" t="n">
        <x:v>2024</x:v>
      </x:c>
      <x:c r="D122" s="7" t="str">
        <x:v>0-17</x:v>
      </x:c>
      <x:c r="E122" s="7" t="str">
        <x:v>Female</x:v>
      </x:c>
      <x:c r="F122" s="7" t="n">
        <x:v>11845632.4</x:v>
      </x:c>
      <x:c r="G122" s="7" t="n">
        <x:v>0.12936469392746167</x:v>
      </x:c>
      <x:c r="H122" s="7" t="str">
        <x:v>World Bank API / UN World Population Prospects</x:v>
      </x:c>
      <x:c r="I122" s="7" t="str">
        <x:v>https://api.worldbank.org/v2/</x:v>
      </x:c>
      <x:c r="J122" s="7" t="str">
        <x:v>Ages 15-19 split 60% to 0-17 and 40% to 18-29; age 80+ is sex total minus ages 0-79</x:v>
      </x:c>
    </x:row>
    <x:row r="123" ht="24" hidden="0" customHeight="1">
      <x:c r="A123" s="7" t="str">
        <x:v>Iran</x:v>
      </x:c>
      <x:c r="B123" s="7" t="str">
        <x:v>IRN</x:v>
      </x:c>
      <x:c r="C123" s="7" t="n">
        <x:v>2024</x:v>
      </x:c>
      <x:c r="D123" s="7" t="str">
        <x:v>18-29</x:v>
      </x:c>
      <x:c r="E123" s="7" t="str">
        <x:v>Female</x:v>
      </x:c>
      <x:c r="F123" s="7" t="n">
        <x:v>7113508.6</x:v>
      </x:c>
      <x:c r="G123" s="7" t="n">
        <x:v>0.07768575215869152</x:v>
      </x:c>
      <x:c r="H123" s="7" t="str">
        <x:v>World Bank API / UN World Population Prospects</x:v>
      </x:c>
      <x:c r="I123" s="7" t="str">
        <x:v>https://api.worldbank.org/v2/</x:v>
      </x:c>
      <x:c r="J123" s="7" t="str">
        <x:v>Ages 15-19 split 60% to 0-17 and 40% to 18-29; age 80+ is sex total minus ages 0-79</x:v>
      </x:c>
    </x:row>
    <x:row r="124" ht="24" hidden="0" customHeight="1">
      <x:c r="A124" s="7" t="str">
        <x:v>Iran</x:v>
      </x:c>
      <x:c r="B124" s="7" t="str">
        <x:v>IRN</x:v>
      </x:c>
      <x:c r="C124" s="7" t="n">
        <x:v>2024</x:v>
      </x:c>
      <x:c r="D124" s="7" t="str">
        <x:v>30-39</x:v>
      </x:c>
      <x:c r="E124" s="7" t="str">
        <x:v>Female</x:v>
      </x:c>
      <x:c r="F124" s="7" t="n">
        <x:v>8380319</x:v>
      </x:c>
      <x:c r="G124" s="7" t="n">
        <x:v>0.09152043266592433</x:v>
      </x:c>
      <x:c r="H124" s="7" t="str">
        <x:v>World Bank API / UN World Population Prospects</x:v>
      </x:c>
      <x:c r="I124" s="7" t="str">
        <x:v>https://api.worldbank.org/v2/</x:v>
      </x:c>
      <x:c r="J124" s="7" t="str">
        <x:v>Ages 15-19 split 60% to 0-17 and 40% to 18-29; age 80+ is sex total minus ages 0-79</x:v>
      </x:c>
    </x:row>
    <x:row r="125" ht="24" hidden="0" customHeight="1">
      <x:c r="A125" s="7" t="str">
        <x:v>Iran</x:v>
      </x:c>
      <x:c r="B125" s="7" t="str">
        <x:v>IRN</x:v>
      </x:c>
      <x:c r="C125" s="7" t="n">
        <x:v>2024</x:v>
      </x:c>
      <x:c r="D125" s="7" t="str">
        <x:v>40-49</x:v>
      </x:c>
      <x:c r="E125" s="7" t="str">
        <x:v>Female</x:v>
      </x:c>
      <x:c r="F125" s="7" t="n">
        <x:v>7200214</x:v>
      </x:c>
      <x:c r="G125" s="7" t="n">
        <x:v>0.0786326511636664</x:v>
      </x:c>
      <x:c r="H125" s="7" t="str">
        <x:v>World Bank API / UN World Population Prospects</x:v>
      </x:c>
      <x:c r="I125" s="7" t="str">
        <x:v>https://api.worldbank.org/v2/</x:v>
      </x:c>
      <x:c r="J125" s="7" t="str">
        <x:v>Ages 15-19 split 60% to 0-17 and 40% to 18-29; age 80+ is sex total minus ages 0-79</x:v>
      </x:c>
    </x:row>
    <x:row r="126" ht="24" hidden="0" customHeight="1">
      <x:c r="A126" s="7" t="str">
        <x:v>Iran</x:v>
      </x:c>
      <x:c r="B126" s="7" t="str">
        <x:v>IRN</x:v>
      </x:c>
      <x:c r="C126" s="7" t="n">
        <x:v>2024</x:v>
      </x:c>
      <x:c r="D126" s="7" t="str">
        <x:v>50-59</x:v>
      </x:c>
      <x:c r="E126" s="7" t="str">
        <x:v>Female</x:v>
      </x:c>
      <x:c r="F126" s="7" t="n">
        <x:v>4786996</x:v>
      </x:c>
      <x:c r="G126" s="7" t="n">
        <x:v>0.05227819431337269</x:v>
      </x:c>
      <x:c r="H126" s="7" t="str">
        <x:v>World Bank API / UN World Population Prospects</x:v>
      </x:c>
      <x:c r="I126" s="7" t="str">
        <x:v>https://api.worldbank.org/v2/</x:v>
      </x:c>
      <x:c r="J126" s="7" t="str">
        <x:v>Ages 15-19 split 60% to 0-17 and 40% to 18-29; age 80+ is sex total minus ages 0-79</x:v>
      </x:c>
    </x:row>
    <x:row r="127" ht="24" hidden="0" customHeight="1">
      <x:c r="A127" s="7" t="str">
        <x:v>Iran</x:v>
      </x:c>
      <x:c r="B127" s="7" t="str">
        <x:v>IRN</x:v>
      </x:c>
      <x:c r="C127" s="7" t="n">
        <x:v>2024</x:v>
      </x:c>
      <x:c r="D127" s="7" t="str">
        <x:v>60+</x:v>
      </x:c>
      <x:c r="E127" s="7" t="str">
        <x:v>Female</x:v>
      </x:c>
      <x:c r="F127" s="7" t="n">
        <x:v>5709011</x:v>
      </x:c>
      <x:c r="G127" s="7" t="n">
        <x:v>0.062347406681597835</x:v>
      </x:c>
      <x:c r="H127" s="7" t="str">
        <x:v>World Bank API / UN World Population Prospects</x:v>
      </x:c>
      <x:c r="I127" s="7" t="str">
        <x:v>https://api.worldbank.org/v2/</x:v>
      </x:c>
      <x:c r="J127" s="7" t="str">
        <x:v>Ages 15-19 split 60% to 0-17 and 40% to 18-29; age 80+ is sex total minus ages 0-79</x:v>
      </x:c>
    </x:row>
    <x:row r="128" ht="24" hidden="0" customHeight="1">
      <x:c r="A128" s="7" t="str">
        <x:v>Iran</x:v>
      </x:c>
      <x:c r="B128" s="7" t="str">
        <x:v>IRN</x:v>
      </x:c>
      <x:c r="C128" s="7" t="n">
        <x:v>2024</x:v>
      </x:c>
      <x:c r="D128" s="7" t="str">
        <x:v>0-17</x:v>
      </x:c>
      <x:c r="E128" s="7" t="str">
        <x:v>Male</x:v>
      </x:c>
      <x:c r="F128" s="7" t="n">
        <x:v>12516024.4</x:v>
      </x:c>
      <x:c r="G128" s="7" t="n">
        <x:v>0.13668596247294</x:v>
      </x:c>
      <x:c r="H128" s="7" t="str">
        <x:v>World Bank API / UN World Population Prospects</x:v>
      </x:c>
      <x:c r="I128" s="7" t="str">
        <x:v>https://api.worldbank.org/v2/</x:v>
      </x:c>
      <x:c r="J128" s="7" t="str">
        <x:v>Ages 15-19 split 60% to 0-17 and 40% to 18-29; age 80+ is sex total minus ages 0-79</x:v>
      </x:c>
    </x:row>
    <x:row r="129" ht="24" hidden="0" customHeight="1">
      <x:c r="A129" s="7" t="str">
        <x:v>Iran</x:v>
      </x:c>
      <x:c r="B129" s="7" t="str">
        <x:v>IRN</x:v>
      </x:c>
      <x:c r="C129" s="7" t="n">
        <x:v>2024</x:v>
      </x:c>
      <x:c r="D129" s="7" t="str">
        <x:v>18-29</x:v>
      </x:c>
      <x:c r="E129" s="7" t="str">
        <x:v>Male</x:v>
      </x:c>
      <x:c r="F129" s="7" t="n">
        <x:v>7417191.6</x:v>
      </x:c>
      <x:c r="G129" s="7" t="n">
        <x:v>0.08100223683586025</x:v>
      </x:c>
      <x:c r="H129" s="7" t="str">
        <x:v>World Bank API / UN World Population Prospects</x:v>
      </x:c>
      <x:c r="I129" s="7" t="str">
        <x:v>https://api.worldbank.org/v2/</x:v>
      </x:c>
      <x:c r="J129" s="7" t="str">
        <x:v>Ages 15-19 split 60% to 0-17 and 40% to 18-29; age 80+ is sex total minus ages 0-79</x:v>
      </x:c>
    </x:row>
    <x:row r="130" ht="24" hidden="0" customHeight="1">
      <x:c r="A130" s="7" t="str">
        <x:v>Iran</x:v>
      </x:c>
      <x:c r="B130" s="7" t="str">
        <x:v>IRN</x:v>
      </x:c>
      <x:c r="C130" s="7" t="n">
        <x:v>2024</x:v>
      </x:c>
      <x:c r="D130" s="7" t="str">
        <x:v>30-39</x:v>
      </x:c>
      <x:c r="E130" s="7" t="str">
        <x:v>Male</x:v>
      </x:c>
      <x:c r="F130" s="7" t="n">
        <x:v>8681018</x:v>
      </x:c>
      <x:c r="G130" s="7" t="n">
        <x:v>0.09480432944625104</x:v>
      </x:c>
      <x:c r="H130" s="7" t="str">
        <x:v>World Bank API / UN World Population Prospects</x:v>
      </x:c>
      <x:c r="I130" s="7" t="str">
        <x:v>https://api.worldbank.org/v2/</x:v>
      </x:c>
      <x:c r="J130" s="7" t="str">
        <x:v>Ages 15-19 split 60% to 0-17 and 40% to 18-29; age 80+ is sex total minus ages 0-79</x:v>
      </x:c>
    </x:row>
    <x:row r="131" ht="24" hidden="0" customHeight="1">
      <x:c r="A131" s="7" t="str">
        <x:v>Iran</x:v>
      </x:c>
      <x:c r="B131" s="7" t="str">
        <x:v>IRN</x:v>
      </x:c>
      <x:c r="C131" s="7" t="n">
        <x:v>2024</x:v>
      </x:c>
      <x:c r="D131" s="7" t="str">
        <x:v>40-49</x:v>
      </x:c>
      <x:c r="E131" s="7" t="str">
        <x:v>Male</x:v>
      </x:c>
      <x:c r="F131" s="7" t="n">
        <x:v>7504177</x:v>
      </x:c>
      <x:c r="G131" s="7" t="n">
        <x:v>0.0819521936863833</x:v>
      </x:c>
      <x:c r="H131" s="7" t="str">
        <x:v>World Bank API / UN World Population Prospects</x:v>
      </x:c>
      <x:c r="I131" s="7" t="str">
        <x:v>https://api.worldbank.org/v2/</x:v>
      </x:c>
      <x:c r="J131" s="7" t="str">
        <x:v>Ages 15-19 split 60% to 0-17 and 40% to 18-29; age 80+ is sex total minus ages 0-79</x:v>
      </x:c>
    </x:row>
    <x:row r="132" ht="24" hidden="0" customHeight="1">
      <x:c r="A132" s="7" t="str">
        <x:v>Iran</x:v>
      </x:c>
      <x:c r="B132" s="7" t="str">
        <x:v>IRN</x:v>
      </x:c>
      <x:c r="C132" s="7" t="n">
        <x:v>2024</x:v>
      </x:c>
      <x:c r="D132" s="7" t="str">
        <x:v>50-59</x:v>
      </x:c>
      <x:c r="E132" s="7" t="str">
        <x:v>Male</x:v>
      </x:c>
      <x:c r="F132" s="7" t="n">
        <x:v>4927604</x:v>
      </x:c>
      <x:c r="G132" s="7" t="n">
        <x:v>0.053813756980651856</x:v>
      </x:c>
      <x:c r="H132" s="7" t="str">
        <x:v>World Bank API / UN World Population Prospects</x:v>
      </x:c>
      <x:c r="I132" s="7" t="str">
        <x:v>https://api.worldbank.org/v2/</x:v>
      </x:c>
      <x:c r="J132" s="7" t="str">
        <x:v>Ages 15-19 split 60% to 0-17 and 40% to 18-29; age 80+ is sex total minus ages 0-79</x:v>
      </x:c>
    </x:row>
    <x:row r="133" ht="24" hidden="0" customHeight="1">
      <x:c r="A133" s="7" t="str">
        <x:v>Iran</x:v>
      </x:c>
      <x:c r="B133" s="7" t="str">
        <x:v>IRN</x:v>
      </x:c>
      <x:c r="C133" s="7" t="n">
        <x:v>2024</x:v>
      </x:c>
      <x:c r="D133" s="7" t="str">
        <x:v>60+</x:v>
      </x:c>
      <x:c r="E133" s="7" t="str">
        <x:v>Male</x:v>
      </x:c>
      <x:c r="F133" s="7" t="n">
        <x:v>5486042</x:v>
      </x:c>
      <x:c r="G133" s="7" t="n">
        <x:v>0.05991238966719916</x:v>
      </x:c>
      <x:c r="H133" s="7" t="str">
        <x:v>World Bank API / UN World Population Prospects</x:v>
      </x:c>
      <x:c r="I133" s="7" t="str">
        <x:v>https://api.worldbank.org/v2/</x:v>
      </x:c>
      <x:c r="J133" s="7" t="str">
        <x:v>Ages 15-19 split 60% to 0-17 and 40% to 18-29; age 80+ is sex total minus ages 0-79</x:v>
      </x:c>
    </x:row>
    <x:row r="134" ht="24" hidden="0" customHeight="1">
      <x:c r="A134" s="7" t="str">
        <x:v>Malaysia</x:v>
      </x:c>
      <x:c r="B134" s="7" t="str">
        <x:v>MYS</x:v>
      </x:c>
      <x:c r="C134" s="7" t="n">
        <x:v>2024</x:v>
      </x:c>
      <x:c r="D134" s="7" t="str">
        <x:v>0-17</x:v>
      </x:c>
      <x:c r="E134" s="7" t="str">
        <x:v>Female</x:v>
      </x:c>
      <x:c r="F134" s="7" t="n">
        <x:v>4557333.8</x:v>
      </x:c>
      <x:c r="G134" s="7" t="n">
        <x:v>0.12816738035697667</x:v>
      </x:c>
      <x:c r="H134" s="7" t="str">
        <x:v>World Bank API / UN World Population Prospects</x:v>
      </x:c>
      <x:c r="I134" s="7" t="str">
        <x:v>https://api.worldbank.org/v2/</x:v>
      </x:c>
      <x:c r="J134" s="7" t="str">
        <x:v>Ages 15-19 split 60% to 0-17 and 40% to 18-29; age 80+ is sex total minus ages 0-79</x:v>
      </x:c>
    </x:row>
    <x:row r="135" ht="24" hidden="0" customHeight="1">
      <x:c r="A135" s="7" t="str">
        <x:v>Malaysia</x:v>
      </x:c>
      <x:c r="B135" s="7" t="str">
        <x:v>MYS</x:v>
      </x:c>
      <x:c r="C135" s="7" t="n">
        <x:v>2024</x:v>
      </x:c>
      <x:c r="D135" s="7" t="str">
        <x:v>18-29</x:v>
      </x:c>
      <x:c r="E135" s="7" t="str">
        <x:v>Female</x:v>
      </x:c>
      <x:c r="F135" s="7" t="n">
        <x:v>3452789.2</x:v>
      </x:c>
      <x:c r="G135" s="7" t="n">
        <x:v>0.0971039134085068</x:v>
      </x:c>
      <x:c r="H135" s="7" t="str">
        <x:v>World Bank API / UN World Population Prospects</x:v>
      </x:c>
      <x:c r="I135" s="7" t="str">
        <x:v>https://api.worldbank.org/v2/</x:v>
      </x:c>
      <x:c r="J135" s="7" t="str">
        <x:v>Ages 15-19 split 60% to 0-17 and 40% to 18-29; age 80+ is sex total minus ages 0-79</x:v>
      </x:c>
    </x:row>
    <x:row r="136" ht="24" hidden="0" customHeight="1">
      <x:c r="A136" s="7" t="str">
        <x:v>Malaysia</x:v>
      </x:c>
      <x:c r="B136" s="7" t="str">
        <x:v>MYS</x:v>
      </x:c>
      <x:c r="C136" s="7" t="n">
        <x:v>2024</x:v>
      </x:c>
      <x:c r="D136" s="7" t="str">
        <x:v>30-39</x:v>
      </x:c>
      <x:c r="E136" s="7" t="str">
        <x:v>Female</x:v>
      </x:c>
      <x:c r="F136" s="7" t="n">
        <x:v>2851405</x:v>
      </x:c>
      <x:c r="G136" s="7" t="n">
        <x:v>0.0801909900009486</x:v>
      </x:c>
      <x:c r="H136" s="7" t="str">
        <x:v>World Bank API / UN World Population Prospects</x:v>
      </x:c>
      <x:c r="I136" s="7" t="str">
        <x:v>https://api.worldbank.org/v2/</x:v>
      </x:c>
      <x:c r="J136" s="7" t="str">
        <x:v>Ages 15-19 split 60% to 0-17 and 40% to 18-29; age 80+ is sex total minus ages 0-79</x:v>
      </x:c>
    </x:row>
    <x:row r="137" ht="24" hidden="0" customHeight="1">
      <x:c r="A137" s="7" t="str">
        <x:v>Malaysia</x:v>
      </x:c>
      <x:c r="B137" s="7" t="str">
        <x:v>MYS</x:v>
      </x:c>
      <x:c r="C137" s="7" t="n">
        <x:v>2024</x:v>
      </x:c>
      <x:c r="D137" s="7" t="str">
        <x:v>40-49</x:v>
      </x:c>
      <x:c r="E137" s="7" t="str">
        <x:v>Female</x:v>
      </x:c>
      <x:c r="F137" s="7" t="n">
        <x:v>2302955</x:v>
      </x:c>
      <x:c r="G137" s="7" t="n">
        <x:v>0.06476675231250369</x:v>
      </x:c>
      <x:c r="H137" s="7" t="str">
        <x:v>World Bank API / UN World Population Prospects</x:v>
      </x:c>
      <x:c r="I137" s="7" t="str">
        <x:v>https://api.worldbank.org/v2/</x:v>
      </x:c>
      <x:c r="J137" s="7" t="str">
        <x:v>Ages 15-19 split 60% to 0-17 and 40% to 18-29; age 80+ is sex total minus ages 0-79</x:v>
      </x:c>
    </x:row>
    <x:row r="138" ht="24" hidden="0" customHeight="1">
      <x:c r="A138" s="7" t="str">
        <x:v>Malaysia</x:v>
      </x:c>
      <x:c r="B138" s="7" t="str">
        <x:v>MYS</x:v>
      </x:c>
      <x:c r="C138" s="7" t="n">
        <x:v>2024</x:v>
      </x:c>
      <x:c r="D138" s="7" t="str">
        <x:v>50-59</x:v>
      </x:c>
      <x:c r="E138" s="7" t="str">
        <x:v>Female</x:v>
      </x:c>
      <x:c r="F138" s="7" t="n">
        <x:v>1664537</x:v>
      </x:c>
      <x:c r="G138" s="7" t="n">
        <x:v>0.046812315305335084</x:v>
      </x:c>
      <x:c r="H138" s="7" t="str">
        <x:v>World Bank API / UN World Population Prospects</x:v>
      </x:c>
      <x:c r="I138" s="7" t="str">
        <x:v>https://api.worldbank.org/v2/</x:v>
      </x:c>
      <x:c r="J138" s="7" t="str">
        <x:v>Ages 15-19 split 60% to 0-17 and 40% to 18-29; age 80+ is sex total minus ages 0-79</x:v>
      </x:c>
    </x:row>
    <x:row r="139" ht="24" hidden="0" customHeight="1">
      <x:c r="A139" s="7" t="str">
        <x:v>Malaysia</x:v>
      </x:c>
      <x:c r="B139" s="7" t="str">
        <x:v>MYS</x:v>
      </x:c>
      <x:c r="C139" s="7" t="n">
        <x:v>2024</x:v>
      </x:c>
      <x:c r="D139" s="7" t="str">
        <x:v>60+</x:v>
      </x:c>
      <x:c r="E139" s="7" t="str">
        <x:v>Female</x:v>
      </x:c>
      <x:c r="F139" s="7" t="n">
        <x:v>2110859</x:v>
      </x:c>
      <x:c r="G139" s="7" t="n">
        <x:v>0.05936437404101219</x:v>
      </x:c>
      <x:c r="H139" s="7" t="str">
        <x:v>World Bank API / UN World Population Prospects</x:v>
      </x:c>
      <x:c r="I139" s="7" t="str">
        <x:v>https://api.worldbank.org/v2/</x:v>
      </x:c>
      <x:c r="J139" s="7" t="str">
        <x:v>Ages 15-19 split 60% to 0-17 and 40% to 18-29; age 80+ is sex total minus ages 0-79</x:v>
      </x:c>
    </x:row>
    <x:row r="140" ht="24" hidden="0" customHeight="1">
      <x:c r="A140" s="7" t="str">
        <x:v>Malaysia</x:v>
      </x:c>
      <x:c r="B140" s="7" t="str">
        <x:v>MYS</x:v>
      </x:c>
      <x:c r="C140" s="7" t="n">
        <x:v>2024</x:v>
      </x:c>
      <x:c r="D140" s="7" t="str">
        <x:v>0-17</x:v>
      </x:c>
      <x:c r="E140" s="7" t="str">
        <x:v>Male</x:v>
      </x:c>
      <x:c r="F140" s="7" t="n">
        <x:v>4874295</x:v>
      </x:c>
      <x:c r="G140" s="7" t="n">
        <x:v>0.13708138325024813</x:v>
      </x:c>
      <x:c r="H140" s="7" t="str">
        <x:v>World Bank API / UN World Population Prospects</x:v>
      </x:c>
      <x:c r="I140" s="7" t="str">
        <x:v>https://api.worldbank.org/v2/</x:v>
      </x:c>
      <x:c r="J140" s="7" t="str">
        <x:v>Ages 15-19 split 60% to 0-17 and 40% to 18-29; age 80+ is sex total minus ages 0-79</x:v>
      </x:c>
    </x:row>
    <x:row r="141" ht="24" hidden="0" customHeight="1">
      <x:c r="A141" s="7" t="str">
        <x:v>Malaysia</x:v>
      </x:c>
      <x:c r="B141" s="7" t="str">
        <x:v>MYS</x:v>
      </x:c>
      <x:c r="C141" s="7" t="n">
        <x:v>2024</x:v>
      </x:c>
      <x:c r="D141" s="7" t="str">
        <x:v>18-29</x:v>
      </x:c>
      <x:c r="E141" s="7" t="str">
        <x:v>Male</x:v>
      </x:c>
      <x:c r="F141" s="7" t="n">
        <x:v>3933195</x:v>
      </x:c>
      <x:c r="G141" s="7" t="n">
        <x:v>0.11061452193454842</x:v>
      </x:c>
      <x:c r="H141" s="7" t="str">
        <x:v>World Bank API / UN World Population Prospects</x:v>
      </x:c>
      <x:c r="I141" s="7" t="str">
        <x:v>https://api.worldbank.org/v2/</x:v>
      </x:c>
      <x:c r="J141" s="7" t="str">
        <x:v>Ages 15-19 split 60% to 0-17 and 40% to 18-29; age 80+ is sex total minus ages 0-79</x:v>
      </x:c>
    </x:row>
    <x:row r="142" ht="24" hidden="0" customHeight="1">
      <x:c r="A142" s="7" t="str">
        <x:v>Malaysia</x:v>
      </x:c>
      <x:c r="B142" s="7" t="str">
        <x:v>MYS</x:v>
      </x:c>
      <x:c r="C142" s="7" t="n">
        <x:v>2024</x:v>
      </x:c>
      <x:c r="D142" s="7" t="str">
        <x:v>30-39</x:v>
      </x:c>
      <x:c r="E142" s="7" t="str">
        <x:v>Male</x:v>
      </x:c>
      <x:c r="F142" s="7" t="n">
        <x:v>3399671</x:v>
      </x:c>
      <x:c r="G142" s="7" t="n">
        <x:v>0.09561005299756258</x:v>
      </x:c>
      <x:c r="H142" s="7" t="str">
        <x:v>World Bank API / UN World Population Prospects</x:v>
      </x:c>
      <x:c r="I142" s="7" t="str">
        <x:v>https://api.worldbank.org/v2/</x:v>
      </x:c>
      <x:c r="J142" s="7" t="str">
        <x:v>Ages 15-19 split 60% to 0-17 and 40% to 18-29; age 80+ is sex total minus ages 0-79</x:v>
      </x:c>
    </x:row>
    <x:row r="143" ht="24" hidden="0" customHeight="1">
      <x:c r="A143" s="7" t="str">
        <x:v>Malaysia</x:v>
      </x:c>
      <x:c r="B143" s="7" t="str">
        <x:v>MYS</x:v>
      </x:c>
      <x:c r="C143" s="7" t="n">
        <x:v>2024</x:v>
      </x:c>
      <x:c r="D143" s="7" t="str">
        <x:v>40-49</x:v>
      </x:c>
      <x:c r="E143" s="7" t="str">
        <x:v>Male</x:v>
      </x:c>
      <x:c r="F143" s="7" t="n">
        <x:v>2655688</x:v>
      </x:c>
      <x:c r="G143" s="7" t="n">
        <x:v>0.0746867771690234</x:v>
      </x:c>
      <x:c r="H143" s="7" t="str">
        <x:v>World Bank API / UN World Population Prospects</x:v>
      </x:c>
      <x:c r="I143" s="7" t="str">
        <x:v>https://api.worldbank.org/v2/</x:v>
      </x:c>
      <x:c r="J143" s="7" t="str">
        <x:v>Ages 15-19 split 60% to 0-17 and 40% to 18-29; age 80+ is sex total minus ages 0-79</x:v>
      </x:c>
    </x:row>
    <x:row r="144" ht="24" hidden="0" customHeight="1">
      <x:c r="A144" s="7" t="str">
        <x:v>Malaysia</x:v>
      </x:c>
      <x:c r="B144" s="7" t="str">
        <x:v>MYS</x:v>
      </x:c>
      <x:c r="C144" s="7" t="n">
        <x:v>2024</x:v>
      </x:c>
      <x:c r="D144" s="7" t="str">
        <x:v>50-59</x:v>
      </x:c>
      <x:c r="E144" s="7" t="str">
        <x:v>Male</x:v>
      </x:c>
      <x:c r="F144" s="7" t="n">
        <x:v>1741404</x:v>
      </x:c>
      <x:c r="G144" s="7" t="n">
        <x:v>0.04897407094103149</x:v>
      </x:c>
      <x:c r="H144" s="7" t="str">
        <x:v>World Bank API / UN World Population Prospects</x:v>
      </x:c>
      <x:c r="I144" s="7" t="str">
        <x:v>https://api.worldbank.org/v2/</x:v>
      </x:c>
      <x:c r="J144" s="7" t="str">
        <x:v>Ages 15-19 split 60% to 0-17 and 40% to 18-29; age 80+ is sex total minus ages 0-79</x:v>
      </x:c>
    </x:row>
    <x:row r="145" ht="24" hidden="0" customHeight="1">
      <x:c r="A145" s="7" t="str">
        <x:v>Malaysia</x:v>
      </x:c>
      <x:c r="B145" s="7" t="str">
        <x:v>MYS</x:v>
      </x:c>
      <x:c r="C145" s="7" t="n">
        <x:v>2024</x:v>
      </x:c>
      <x:c r="D145" s="7" t="str">
        <x:v>60+</x:v>
      </x:c>
      <x:c r="E145" s="7" t="str">
        <x:v>Male</x:v>
      </x:c>
      <x:c r="F145" s="7" t="n">
        <x:v>2013541</x:v>
      </x:c>
      <x:c r="G145" s="7" t="n">
        <x:v>0.05662746828230295</x:v>
      </x:c>
      <x:c r="H145" s="7" t="str">
        <x:v>World Bank API / UN World Population Prospects</x:v>
      </x:c>
      <x:c r="I145" s="7" t="str">
        <x:v>https://api.worldbank.org/v2/</x:v>
      </x:c>
      <x:c r="J145" s="7" t="str">
        <x:v>Ages 15-19 split 60% to 0-17 and 40% to 18-29; age 80+ is sex total minus ages 0-79</x:v>
      </x:c>
    </x:row>
    <x:row r="146" ht="24" hidden="0" customHeight="1">
      <x:c r="A146" s="7" t="str">
        <x:v>Nigeria</x:v>
      </x:c>
      <x:c r="B146" s="7" t="str">
        <x:v>NGA</x:v>
      </x:c>
      <x:c r="C146" s="7" t="n">
        <x:v>2024</x:v>
      </x:c>
      <x:c r="D146" s="7" t="str">
        <x:v>0-17</x:v>
      </x:c>
      <x:c r="E146" s="7" t="str">
        <x:v>Female</x:v>
      </x:c>
      <x:c r="F146" s="7" t="n">
        <x:v>54700066.8</x:v>
      </x:c>
      <x:c r="G146" s="7" t="n">
        <x:v>0.235087629000096</x:v>
      </x:c>
      <x:c r="H146" s="7" t="str">
        <x:v>World Bank API / UN World Population Prospects</x:v>
      </x:c>
      <x:c r="I146" s="7" t="str">
        <x:v>https://api.worldbank.org/v2/</x:v>
      </x:c>
      <x:c r="J146" s="7" t="str">
        <x:v>Ages 15-19 split 60% to 0-17 and 40% to 18-29; age 80+ is sex total minus ages 0-79</x:v>
      </x:c>
    </x:row>
    <x:row r="147" ht="24" hidden="0" customHeight="1">
      <x:c r="A147" s="7" t="str">
        <x:v>Nigeria</x:v>
      </x:c>
      <x:c r="B147" s="7" t="str">
        <x:v>NGA</x:v>
      </x:c>
      <x:c r="C147" s="7" t="n">
        <x:v>2024</x:v>
      </x:c>
      <x:c r="D147" s="7" t="str">
        <x:v>18-29</x:v>
      </x:c>
      <x:c r="E147" s="7" t="str">
        <x:v>Female</x:v>
      </x:c>
      <x:c r="F147" s="7" t="n">
        <x:v>24561773.2</x:v>
      </x:c>
      <x:c r="G147" s="7" t="n">
        <x:v>0.10556054797406757</x:v>
      </x:c>
      <x:c r="H147" s="7" t="str">
        <x:v>World Bank API / UN World Population Prospects</x:v>
      </x:c>
      <x:c r="I147" s="7" t="str">
        <x:v>https://api.worldbank.org/v2/</x:v>
      </x:c>
      <x:c r="J147" s="7" t="str">
        <x:v>Ages 15-19 split 60% to 0-17 and 40% to 18-29; age 80+ is sex total minus ages 0-79</x:v>
      </x:c>
    </x:row>
    <x:row r="148" ht="24" hidden="0" customHeight="1">
      <x:c r="A148" s="7" t="str">
        <x:v>Nigeria</x:v>
      </x:c>
      <x:c r="B148" s="7" t="str">
        <x:v>NGA</x:v>
      </x:c>
      <x:c r="C148" s="7" t="n">
        <x:v>2024</x:v>
      </x:c>
      <x:c r="D148" s="7" t="str">
        <x:v>30-39</x:v>
      </x:c>
      <x:c r="E148" s="7" t="str">
        <x:v>Female</x:v>
      </x:c>
      <x:c r="F148" s="7" t="n">
        <x:v>13560861</x:v>
      </x:c>
      <x:c r="G148" s="7" t="n">
        <x:v>0.05828129372028246</x:v>
      </x:c>
      <x:c r="H148" s="7" t="str">
        <x:v>World Bank API / UN World Population Prospects</x:v>
      </x:c>
      <x:c r="I148" s="7" t="str">
        <x:v>https://api.worldbank.org/v2/</x:v>
      </x:c>
      <x:c r="J148" s="7" t="str">
        <x:v>Ages 15-19 split 60% to 0-17 and 40% to 18-29; age 80+ is sex total minus ages 0-79</x:v>
      </x:c>
    </x:row>
    <x:row r="149" ht="24" hidden="0" customHeight="1">
      <x:c r="A149" s="7" t="str">
        <x:v>Nigeria</x:v>
      </x:c>
      <x:c r="B149" s="7" t="str">
        <x:v>NGA</x:v>
      </x:c>
      <x:c r="C149" s="7" t="n">
        <x:v>2024</x:v>
      </x:c>
      <x:c r="D149" s="7" t="str">
        <x:v>40-49</x:v>
      </x:c>
      <x:c r="E149" s="7" t="str">
        <x:v>Female</x:v>
      </x:c>
      <x:c r="F149" s="7" t="n">
        <x:v>10024914</x:v>
      </x:c>
      <x:c r="G149" s="7" t="n">
        <x:v>0.043084650550917945</x:v>
      </x:c>
      <x:c r="H149" s="7" t="str">
        <x:v>World Bank API / UN World Population Prospects</x:v>
      </x:c>
      <x:c r="I149" s="7" t="str">
        <x:v>https://api.worldbank.org/v2/</x:v>
      </x:c>
      <x:c r="J149" s="7" t="str">
        <x:v>Ages 15-19 split 60% to 0-17 and 40% to 18-29; age 80+ is sex total minus ages 0-79</x:v>
      </x:c>
    </x:row>
    <x:row r="150" ht="24" hidden="0" customHeight="1">
      <x:c r="A150" s="7" t="str">
        <x:v>Nigeria</x:v>
      </x:c>
      <x:c r="B150" s="7" t="str">
        <x:v>NGA</x:v>
      </x:c>
      <x:c r="C150" s="7" t="n">
        <x:v>2024</x:v>
      </x:c>
      <x:c r="D150" s="7" t="str">
        <x:v>50-59</x:v>
      </x:c>
      <x:c r="E150" s="7" t="str">
        <x:v>Female</x:v>
      </x:c>
      <x:c r="F150" s="7" t="n">
        <x:v>6276836</x:v>
      </x:c>
      <x:c r="G150" s="7" t="n">
        <x:v>0.02697631975949336</x:v>
      </x:c>
      <x:c r="H150" s="7" t="str">
        <x:v>World Bank API / UN World Population Prospects</x:v>
      </x:c>
      <x:c r="I150" s="7" t="str">
        <x:v>https://api.worldbank.org/v2/</x:v>
      </x:c>
      <x:c r="J150" s="7" t="str">
        <x:v>Ages 15-19 split 60% to 0-17 and 40% to 18-29; age 80+ is sex total minus ages 0-79</x:v>
      </x:c>
    </x:row>
    <x:row r="151" ht="24" hidden="0" customHeight="1">
      <x:c r="A151" s="7" t="str">
        <x:v>Nigeria</x:v>
      </x:c>
      <x:c r="B151" s="7" t="str">
        <x:v>NGA</x:v>
      </x:c>
      <x:c r="C151" s="7" t="n">
        <x:v>2024</x:v>
      </x:c>
      <x:c r="D151" s="7" t="str">
        <x:v>60+</x:v>
      </x:c>
      <x:c r="E151" s="7" t="str">
        <x:v>Female</x:v>
      </x:c>
      <x:c r="F151" s="7" t="n">
        <x:v>5881256</x:v>
      </x:c>
      <x:c r="G151" s="7" t="n">
        <x:v>0.02527621279948032</x:v>
      </x:c>
      <x:c r="H151" s="7" t="str">
        <x:v>World Bank API / UN World Population Prospects</x:v>
      </x:c>
      <x:c r="I151" s="7" t="str">
        <x:v>https://api.worldbank.org/v2/</x:v>
      </x:c>
      <x:c r="J151" s="7" t="str">
        <x:v>Ages 15-19 split 60% to 0-17 and 40% to 18-29; age 80+ is sex total minus ages 0-79</x:v>
      </x:c>
    </x:row>
    <x:row r="152" ht="24" hidden="0" customHeight="1">
      <x:c r="A152" s="7" t="str">
        <x:v>Nigeria</x:v>
      </x:c>
      <x:c r="B152" s="7" t="str">
        <x:v>NGA</x:v>
      </x:c>
      <x:c r="C152" s="7" t="n">
        <x:v>2024</x:v>
      </x:c>
      <x:c r="D152" s="7" t="str">
        <x:v>0-17</x:v>
      </x:c>
      <x:c r="E152" s="7" t="str">
        <x:v>Male</x:v>
      </x:c>
      <x:c r="F152" s="7" t="n">
        <x:v>56370928</x:v>
      </x:c>
      <x:c r="G152" s="7" t="n">
        <x:v>0.2422685854572873</x:v>
      </x:c>
      <x:c r="H152" s="7" t="str">
        <x:v>World Bank API / UN World Population Prospects</x:v>
      </x:c>
      <x:c r="I152" s="7" t="str">
        <x:v>https://api.worldbank.org/v2/</x:v>
      </x:c>
      <x:c r="J152" s="7" t="str">
        <x:v>Ages 15-19 split 60% to 0-17 and 40% to 18-29; age 80+ is sex total minus ages 0-79</x:v>
      </x:c>
    </x:row>
    <x:row r="153" ht="24" hidden="0" customHeight="1">
      <x:c r="A153" s="7" t="str">
        <x:v>Nigeria</x:v>
      </x:c>
      <x:c r="B153" s="7" t="str">
        <x:v>NGA</x:v>
      </x:c>
      <x:c r="C153" s="7" t="n">
        <x:v>2024</x:v>
      </x:c>
      <x:c r="D153" s="7" t="str">
        <x:v>18-29</x:v>
      </x:c>
      <x:c r="E153" s="7" t="str">
        <x:v>Male</x:v>
      </x:c>
      <x:c r="F153" s="7" t="n">
        <x:v>25460570</x:v>
      </x:c>
      <x:c r="G153" s="7" t="n">
        <x:v>0.10942335877167474</x:v>
      </x:c>
      <x:c r="H153" s="7" t="str">
        <x:v>World Bank API / UN World Population Prospects</x:v>
      </x:c>
      <x:c r="I153" s="7" t="str">
        <x:v>https://api.worldbank.org/v2/</x:v>
      </x:c>
      <x:c r="J153" s="7" t="str">
        <x:v>Ages 15-19 split 60% to 0-17 and 40% to 18-29; age 80+ is sex total minus ages 0-79</x:v>
      </x:c>
    </x:row>
    <x:row r="154" ht="24" hidden="0" customHeight="1">
      <x:c r="A154" s="7" t="str">
        <x:v>Nigeria</x:v>
      </x:c>
      <x:c r="B154" s="7" t="str">
        <x:v>NGA</x:v>
      </x:c>
      <x:c r="C154" s="7" t="n">
        <x:v>2024</x:v>
      </x:c>
      <x:c r="D154" s="7" t="str">
        <x:v>30-39</x:v>
      </x:c>
      <x:c r="E154" s="7" t="str">
        <x:v>Male</x:v>
      </x:c>
      <x:c r="F154" s="7" t="n">
        <x:v>13954034</x:v>
      </x:c>
      <x:c r="G154" s="7" t="n">
        <x:v>0.05997105597769993</x:v>
      </x:c>
      <x:c r="H154" s="7" t="str">
        <x:v>World Bank API / UN World Population Prospects</x:v>
      </x:c>
      <x:c r="I154" s="7" t="str">
        <x:v>https://api.worldbank.org/v2/</x:v>
      </x:c>
      <x:c r="J154" s="7" t="str">
        <x:v>Ages 15-19 split 60% to 0-17 and 40% to 18-29; age 80+ is sex total minus ages 0-79</x:v>
      </x:c>
    </x:row>
    <x:row r="155" ht="24" hidden="0" customHeight="1">
      <x:c r="A155" s="7" t="str">
        <x:v>Nigeria</x:v>
      </x:c>
      <x:c r="B155" s="7" t="str">
        <x:v>NGA</x:v>
      </x:c>
      <x:c r="C155" s="7" t="n">
        <x:v>2024</x:v>
      </x:c>
      <x:c r="D155" s="7" t="str">
        <x:v>40-49</x:v>
      </x:c>
      <x:c r="E155" s="7" t="str">
        <x:v>Male</x:v>
      </x:c>
      <x:c r="F155" s="7" t="n">
        <x:v>10239148</x:v>
      </x:c>
      <x:c r="G155" s="7" t="n">
        <x:v>0.04400537635725657</x:v>
      </x:c>
      <x:c r="H155" s="7" t="str">
        <x:v>World Bank API / UN World Population Prospects</x:v>
      </x:c>
      <x:c r="I155" s="7" t="str">
        <x:v>https://api.worldbank.org/v2/</x:v>
      </x:c>
      <x:c r="J155" s="7" t="str">
        <x:v>Ages 15-19 split 60% to 0-17 and 40% to 18-29; age 80+ is sex total minus ages 0-79</x:v>
      </x:c>
    </x:row>
    <x:row r="156" ht="24" hidden="0" customHeight="1">
      <x:c r="A156" s="7" t="str">
        <x:v>Nigeria</x:v>
      </x:c>
      <x:c r="B156" s="7" t="str">
        <x:v>NGA</x:v>
      </x:c>
      <x:c r="C156" s="7" t="n">
        <x:v>2024</x:v>
      </x:c>
      <x:c r="D156" s="7" t="str">
        <x:v>50-59</x:v>
      </x:c>
      <x:c r="E156" s="7" t="str">
        <x:v>Male</x:v>
      </x:c>
      <x:c r="F156" s="7" t="n">
        <x:v>6235579</x:v>
      </x:c>
      <x:c r="G156" s="7" t="n">
        <x:v>0.026799007173292696</x:v>
      </x:c>
      <x:c r="H156" s="7" t="str">
        <x:v>World Bank API / UN World Population Prospects</x:v>
      </x:c>
      <x:c r="I156" s="7" t="str">
        <x:v>https://api.worldbank.org/v2/</x:v>
      </x:c>
      <x:c r="J156" s="7" t="str">
        <x:v>Ages 15-19 split 60% to 0-17 and 40% to 18-29; age 80+ is sex total minus ages 0-79</x:v>
      </x:c>
    </x:row>
    <x:row r="157" ht="24" hidden="0" customHeight="1">
      <x:c r="A157" s="7" t="str">
        <x:v>Nigeria</x:v>
      </x:c>
      <x:c r="B157" s="7" t="str">
        <x:v>NGA</x:v>
      </x:c>
      <x:c r="C157" s="7" t="n">
        <x:v>2024</x:v>
      </x:c>
      <x:c r="D157" s="7" t="str">
        <x:v>60+</x:v>
      </x:c>
      <x:c r="E157" s="7" t="str">
        <x:v>Male</x:v>
      </x:c>
      <x:c r="F157" s="7" t="n">
        <x:v>5413512</x:v>
      </x:c>
      <x:c r="G157" s="7" t="n">
        <x:v>0.023265962458451105</x:v>
      </x:c>
      <x:c r="H157" s="7" t="str">
        <x:v>World Bank API / UN World Population Prospects</x:v>
      </x:c>
      <x:c r="I157" s="7" t="str">
        <x:v>https://api.worldbank.org/v2/</x:v>
      </x:c>
      <x:c r="J157" s="7" t="str">
        <x:v>Ages 15-19 split 60% to 0-17 and 40% to 18-29; age 80+ is sex total minus ages 0-79</x:v>
      </x:c>
    </x:row>
    <x:row r="158" ht="24" hidden="0" customHeight="1">
      <x:c r="A158" s="7" t="str">
        <x:v>North Macedonia</x:v>
      </x:c>
      <x:c r="B158" s="7" t="str">
        <x:v>MKD</x:v>
      </x:c>
      <x:c r="C158" s="7" t="n">
        <x:v>2024</x:v>
      </x:c>
      <x:c r="D158" s="7" t="str">
        <x:v>0-17</x:v>
      </x:c>
      <x:c r="E158" s="7" t="str">
        <x:v>Female</x:v>
      </x:c>
      <x:c r="F158" s="7" t="n">
        <x:v>180195.2</x:v>
      </x:c>
      <x:c r="G158" s="7" t="n">
        <x:v>0.09877178778957432</x:v>
      </x:c>
      <x:c r="H158" s="7" t="str">
        <x:v>World Bank API / UN World Population Prospects</x:v>
      </x:c>
      <x:c r="I158" s="7" t="str">
        <x:v>https://api.worldbank.org/v2/</x:v>
      </x:c>
      <x:c r="J158" s="7" t="str">
        <x:v>Ages 15-19 split 60% to 0-17 and 40% to 18-29; age 80+ is sex total minus ages 0-79</x:v>
      </x:c>
    </x:row>
    <x:row r="159" ht="24" hidden="0" customHeight="1">
      <x:c r="A159" s="7" t="str">
        <x:v>North Macedonia</x:v>
      </x:c>
      <x:c r="B159" s="7" t="str">
        <x:v>MKD</x:v>
      </x:c>
      <x:c r="C159" s="7" t="n">
        <x:v>2024</x:v>
      </x:c>
      <x:c r="D159" s="7" t="str">
        <x:v>18-29</x:v>
      </x:c>
      <x:c r="E159" s="7" t="str">
        <x:v>Female</x:v>
      </x:c>
      <x:c r="F159" s="7" t="n">
        <x:v>126877.8</x:v>
      </x:c>
      <x:c r="G159" s="7" t="n">
        <x:v>0.06954650921227676</x:v>
      </x:c>
      <x:c r="H159" s="7" t="str">
        <x:v>World Bank API / UN World Population Prospects</x:v>
      </x:c>
      <x:c r="I159" s="7" t="str">
        <x:v>https://api.worldbank.org/v2/</x:v>
      </x:c>
      <x:c r="J159" s="7" t="str">
        <x:v>Ages 15-19 split 60% to 0-17 and 40% to 18-29; age 80+ is sex total minus ages 0-79</x:v>
      </x:c>
    </x:row>
    <x:row r="160" ht="24" hidden="0" customHeight="1">
      <x:c r="A160" s="7" t="str">
        <x:v>North Macedonia</x:v>
      </x:c>
      <x:c r="B160" s="7" t="str">
        <x:v>MKD</x:v>
      </x:c>
      <x:c r="C160" s="7" t="n">
        <x:v>2024</x:v>
      </x:c>
      <x:c r="D160" s="7" t="str">
        <x:v>30-39</x:v>
      </x:c>
      <x:c r="E160" s="7" t="str">
        <x:v>Female</x:v>
      </x:c>
      <x:c r="F160" s="7" t="n">
        <x:v>121664</x:v>
      </x:c>
      <x:c r="G160" s="7" t="n">
        <x:v>0.0666886287183608</x:v>
      </x:c>
      <x:c r="H160" s="7" t="str">
        <x:v>World Bank API / UN World Population Prospects</x:v>
      </x:c>
      <x:c r="I160" s="7" t="str">
        <x:v>https://api.worldbank.org/v2/</x:v>
      </x:c>
      <x:c r="J160" s="7" t="str">
        <x:v>Ages 15-19 split 60% to 0-17 and 40% to 18-29; age 80+ is sex total minus ages 0-79</x:v>
      </x:c>
    </x:row>
    <x:row r="161" ht="24" hidden="0" customHeight="1">
      <x:c r="A161" s="7" t="str">
        <x:v>North Macedonia</x:v>
      </x:c>
      <x:c r="B161" s="7" t="str">
        <x:v>MKD</x:v>
      </x:c>
      <x:c r="C161" s="7" t="n">
        <x:v>2024</x:v>
      </x:c>
      <x:c r="D161" s="7" t="str">
        <x:v>40-49</x:v>
      </x:c>
      <x:c r="E161" s="7" t="str">
        <x:v>Female</x:v>
      </x:c>
      <x:c r="F161" s="7" t="n">
        <x:v>129366</x:v>
      </x:c>
      <x:c r="G161" s="7" t="n">
        <x:v>0.07091038551074652</x:v>
      </x:c>
      <x:c r="H161" s="7" t="str">
        <x:v>World Bank API / UN World Population Prospects</x:v>
      </x:c>
      <x:c r="I161" s="7" t="str">
        <x:v>https://api.worldbank.org/v2/</x:v>
      </x:c>
      <x:c r="J161" s="7" t="str">
        <x:v>Ages 15-19 split 60% to 0-17 and 40% to 18-29; age 80+ is sex total minus ages 0-79</x:v>
      </x:c>
    </x:row>
    <x:row r="162" ht="24" hidden="0" customHeight="1">
      <x:c r="A162" s="7" t="str">
        <x:v>North Macedonia</x:v>
      </x:c>
      <x:c r="B162" s="7" t="str">
        <x:v>MKD</x:v>
      </x:c>
      <x:c r="C162" s="7" t="n">
        <x:v>2024</x:v>
      </x:c>
      <x:c r="D162" s="7" t="str">
        <x:v>50-59</x:v>
      </x:c>
      <x:c r="E162" s="7" t="str">
        <x:v>Female</x:v>
      </x:c>
      <x:c r="F162" s="7" t="n">
        <x:v>127865</x:v>
      </x:c>
      <x:c r="G162" s="7" t="n">
        <x:v>0.07008763077881053</x:v>
      </x:c>
      <x:c r="H162" s="7" t="str">
        <x:v>World Bank API / UN World Population Prospects</x:v>
      </x:c>
      <x:c r="I162" s="7" t="str">
        <x:v>https://api.worldbank.org/v2/</x:v>
      </x:c>
      <x:c r="J162" s="7" t="str">
        <x:v>Ages 15-19 split 60% to 0-17 and 40% to 18-29; age 80+ is sex total minus ages 0-79</x:v>
      </x:c>
    </x:row>
    <x:row r="163" ht="24" hidden="0" customHeight="1">
      <x:c r="A163" s="7" t="str">
        <x:v>North Macedonia</x:v>
      </x:c>
      <x:c r="B163" s="7" t="str">
        <x:v>MKD</x:v>
      </x:c>
      <x:c r="C163" s="7" t="n">
        <x:v>2024</x:v>
      </x:c>
      <x:c r="D163" s="7" t="str">
        <x:v>60+</x:v>
      </x:c>
      <x:c r="E163" s="7" t="str">
        <x:v>Female</x:v>
      </x:c>
      <x:c r="F163" s="7" t="n">
        <x:v>250885</x:v>
      </x:c>
      <x:c r="G163" s="7" t="n">
        <x:v>0.13751953425833402</x:v>
      </x:c>
      <x:c r="H163" s="7" t="str">
        <x:v>World Bank API / UN World Population Prospects</x:v>
      </x:c>
      <x:c r="I163" s="7" t="str">
        <x:v>https://api.worldbank.org/v2/</x:v>
      </x:c>
      <x:c r="J163" s="7" t="str">
        <x:v>Ages 15-19 split 60% to 0-17 and 40% to 18-29; age 80+ is sex total minus ages 0-79</x:v>
      </x:c>
    </x:row>
    <x:row r="164" ht="24" hidden="0" customHeight="1">
      <x:c r="A164" s="7" t="str">
        <x:v>North Macedonia</x:v>
      </x:c>
      <x:c r="B164" s="7" t="str">
        <x:v>MKD</x:v>
      </x:c>
      <x:c r="C164" s="7" t="n">
        <x:v>2024</x:v>
      </x:c>
      <x:c r="D164" s="7" t="str">
        <x:v>0-17</x:v>
      </x:c>
      <x:c r="E164" s="7" t="str">
        <x:v>Male</x:v>
      </x:c>
      <x:c r="F164" s="7" t="n">
        <x:v>188514.6</x:v>
      </x:c>
      <x:c r="G164" s="7" t="n">
        <x:v>0.10333196481613542</x:v>
      </x:c>
      <x:c r="H164" s="7" t="str">
        <x:v>World Bank API / UN World Population Prospects</x:v>
      </x:c>
      <x:c r="I164" s="7" t="str">
        <x:v>https://api.worldbank.org/v2/</x:v>
      </x:c>
      <x:c r="J164" s="7" t="str">
        <x:v>Ages 15-19 split 60% to 0-17 and 40% to 18-29; age 80+ is sex total minus ages 0-79</x:v>
      </x:c>
    </x:row>
    <x:row r="165" ht="24" hidden="0" customHeight="1">
      <x:c r="A165" s="7" t="str">
        <x:v>North Macedonia</x:v>
      </x:c>
      <x:c r="B165" s="7" t="str">
        <x:v>MKD</x:v>
      </x:c>
      <x:c r="C165" s="7" t="n">
        <x:v>2024</x:v>
      </x:c>
      <x:c r="D165" s="7" t="str">
        <x:v>18-29</x:v>
      </x:c>
      <x:c r="E165" s="7" t="str">
        <x:v>Male</x:v>
      </x:c>
      <x:c r="F165" s="7" t="n">
        <x:v>130119.4</x:v>
      </x:c>
      <x:c r="G165" s="7" t="n">
        <x:v>0.07132335247612998</x:v>
      </x:c>
      <x:c r="H165" s="7" t="str">
        <x:v>World Bank API / UN World Population Prospects</x:v>
      </x:c>
      <x:c r="I165" s="7" t="str">
        <x:v>https://api.worldbank.org/v2/</x:v>
      </x:c>
      <x:c r="J165" s="7" t="str">
        <x:v>Ages 15-19 split 60% to 0-17 and 40% to 18-29; age 80+ is sex total minus ages 0-79</x:v>
      </x:c>
    </x:row>
    <x:row r="166" ht="24" hidden="0" customHeight="1">
      <x:c r="A166" s="7" t="str">
        <x:v>North Macedonia</x:v>
      </x:c>
      <x:c r="B166" s="7" t="str">
        <x:v>MKD</x:v>
      </x:c>
      <x:c r="C166" s="7" t="n">
        <x:v>2024</x:v>
      </x:c>
      <x:c r="D166" s="7" t="str">
        <x:v>30-39</x:v>
      </x:c>
      <x:c r="E166" s="7" t="str">
        <x:v>Male</x:v>
      </x:c>
      <x:c r="F166" s="7" t="n">
        <x:v>122594</x:v>
      </x:c>
      <x:c r="G166" s="7" t="n">
        <x:v>0.06719839680676884</x:v>
      </x:c>
      <x:c r="H166" s="7" t="str">
        <x:v>World Bank API / UN World Population Prospects</x:v>
      </x:c>
      <x:c r="I166" s="7" t="str">
        <x:v>https://api.worldbank.org/v2/</x:v>
      </x:c>
      <x:c r="J166" s="7" t="str">
        <x:v>Ages 15-19 split 60% to 0-17 and 40% to 18-29; age 80+ is sex total minus ages 0-79</x:v>
      </x:c>
    </x:row>
    <x:row r="167" ht="24" hidden="0" customHeight="1">
      <x:c r="A167" s="7" t="str">
        <x:v>North Macedonia</x:v>
      </x:c>
      <x:c r="B167" s="7" t="str">
        <x:v>MKD</x:v>
      </x:c>
      <x:c r="C167" s="7" t="n">
        <x:v>2024</x:v>
      </x:c>
      <x:c r="D167" s="7" t="str">
        <x:v>40-49</x:v>
      </x:c>
      <x:c r="E167" s="7" t="str">
        <x:v>Male</x:v>
      </x:c>
      <x:c r="F167" s="7" t="n">
        <x:v>126697</x:v>
      </x:c>
      <x:c r="G167" s="7" t="n">
        <x:v>0.06944740591078839</x:v>
      </x:c>
      <x:c r="H167" s="7" t="str">
        <x:v>World Bank API / UN World Population Prospects</x:v>
      </x:c>
      <x:c r="I167" s="7" t="str">
        <x:v>https://api.worldbank.org/v2/</x:v>
      </x:c>
      <x:c r="J167" s="7" t="str">
        <x:v>Ages 15-19 split 60% to 0-17 and 40% to 18-29; age 80+ is sex total minus ages 0-79</x:v>
      </x:c>
    </x:row>
    <x:row r="168" ht="24" hidden="0" customHeight="1">
      <x:c r="A168" s="7" t="str">
        <x:v>North Macedonia</x:v>
      </x:c>
      <x:c r="B168" s="7" t="str">
        <x:v>MKD</x:v>
      </x:c>
      <x:c r="C168" s="7" t="n">
        <x:v>2024</x:v>
      </x:c>
      <x:c r="D168" s="7" t="str">
        <x:v>50-59</x:v>
      </x:c>
      <x:c r="E168" s="7" t="str">
        <x:v>Male</x:v>
      </x:c>
      <x:c r="F168" s="7" t="n">
        <x:v>120047</x:v>
      </x:c>
      <x:c r="G168" s="7" t="n">
        <x:v>0.06580229000980618</x:v>
      </x:c>
      <x:c r="H168" s="7" t="str">
        <x:v>World Bank API / UN World Population Prospects</x:v>
      </x:c>
      <x:c r="I168" s="7" t="str">
        <x:v>https://api.worldbank.org/v2/</x:v>
      </x:c>
      <x:c r="J168" s="7" t="str">
        <x:v>Ages 15-19 split 60% to 0-17 and 40% to 18-29; age 80+ is sex total minus ages 0-79</x:v>
      </x:c>
    </x:row>
    <x:row r="169" ht="24" hidden="0" customHeight="1">
      <x:c r="A169" s="7" t="str">
        <x:v>North Macedonia</x:v>
      </x:c>
      <x:c r="B169" s="7" t="str">
        <x:v>MKD</x:v>
      </x:c>
      <x:c r="C169" s="7" t="n">
        <x:v>2024</x:v>
      </x:c>
      <x:c r="D169" s="7" t="str">
        <x:v>60+</x:v>
      </x:c>
      <x:c r="E169" s="7" t="str">
        <x:v>Male</x:v>
      </x:c>
      <x:c r="F169" s="7" t="n">
        <x:v>199534</x:v>
      </x:c>
      <x:c r="G169" s="7" t="n">
        <x:v>0.10937211371226825</x:v>
      </x:c>
      <x:c r="H169" s="7" t="str">
        <x:v>World Bank API / UN World Population Prospects</x:v>
      </x:c>
      <x:c r="I169" s="7" t="str">
        <x:v>https://api.worldbank.org/v2/</x:v>
      </x:c>
      <x:c r="J169" s="7" t="str">
        <x:v>Ages 15-19 split 60% to 0-17 and 40% to 18-29; age 80+ is sex total minus ages 0-79</x:v>
      </x:c>
    </x:row>
    <x:row r="170" ht="24" hidden="0" customHeight="1">
      <x:c r="A170" s="7" t="str">
        <x:v>Oman</x:v>
      </x:c>
      <x:c r="B170" s="7" t="str">
        <x:v>OMN</x:v>
      </x:c>
      <x:c r="C170" s="7" t="n">
        <x:v>2024</x:v>
      </x:c>
      <x:c r="D170" s="7" t="str">
        <x:v>0-17</x:v>
      </x:c>
      <x:c r="E170" s="7" t="str">
        <x:v>Female</x:v>
      </x:c>
      <x:c r="F170" s="7" t="n">
        <x:v>727473</x:v>
      </x:c>
      <x:c r="G170" s="7" t="n">
        <x:v>0.1377388556136489</x:v>
      </x:c>
      <x:c r="H170" s="7" t="str">
        <x:v>World Bank API / UN World Population Prospects</x:v>
      </x:c>
      <x:c r="I170" s="7" t="str">
        <x:v>https://api.worldbank.org/v2/</x:v>
      </x:c>
      <x:c r="J170" s="7" t="str">
        <x:v>Ages 15-19 split 60% to 0-17 and 40% to 18-29; age 80+ is sex total minus ages 0-79</x:v>
      </x:c>
    </x:row>
    <x:row r="171" ht="24" hidden="0" customHeight="1">
      <x:c r="A171" s="7" t="str">
        <x:v>Oman</x:v>
      </x:c>
      <x:c r="B171" s="7" t="str">
        <x:v>OMN</x:v>
      </x:c>
      <x:c r="C171" s="7" t="n">
        <x:v>2024</x:v>
      </x:c>
      <x:c r="D171" s="7" t="str">
        <x:v>18-29</x:v>
      </x:c>
      <x:c r="E171" s="7" t="str">
        <x:v>Female</x:v>
      </x:c>
      <x:c r="F171" s="7" t="n">
        <x:v>379907</x:v>
      </x:c>
      <x:c r="G171" s="7" t="n">
        <x:v>0.07193113066686257</x:v>
      </x:c>
      <x:c r="H171" s="7" t="str">
        <x:v>World Bank API / UN World Population Prospects</x:v>
      </x:c>
      <x:c r="I171" s="7" t="str">
        <x:v>https://api.worldbank.org/v2/</x:v>
      </x:c>
      <x:c r="J171" s="7" t="str">
        <x:v>Ages 15-19 split 60% to 0-17 and 40% to 18-29; age 80+ is sex total minus ages 0-79</x:v>
      </x:c>
    </x:row>
    <x:row r="172" ht="24" hidden="0" customHeight="1">
      <x:c r="A172" s="7" t="str">
        <x:v>Oman</x:v>
      </x:c>
      <x:c r="B172" s="7" t="str">
        <x:v>OMN</x:v>
      </x:c>
      <x:c r="C172" s="7" t="n">
        <x:v>2024</x:v>
      </x:c>
      <x:c r="D172" s="7" t="str">
        <x:v>30-39</x:v>
      </x:c>
      <x:c r="E172" s="7" t="str">
        <x:v>Female</x:v>
      </x:c>
      <x:c r="F172" s="7" t="n">
        <x:v>396346</x:v>
      </x:c>
      <x:c r="G172" s="7" t="n">
        <x:v>0.07504367099129079</x:v>
      </x:c>
      <x:c r="H172" s="7" t="str">
        <x:v>World Bank API / UN World Population Prospects</x:v>
      </x:c>
      <x:c r="I172" s="7" t="str">
        <x:v>https://api.worldbank.org/v2/</x:v>
      </x:c>
      <x:c r="J172" s="7" t="str">
        <x:v>Ages 15-19 split 60% to 0-17 and 40% to 18-29; age 80+ is sex total minus ages 0-79</x:v>
      </x:c>
    </x:row>
    <x:row r="173" ht="24" hidden="0" customHeight="1">
      <x:c r="A173" s="7" t="str">
        <x:v>Oman</x:v>
      </x:c>
      <x:c r="B173" s="7" t="str">
        <x:v>OMN</x:v>
      </x:c>
      <x:c r="C173" s="7" t="n">
        <x:v>2024</x:v>
      </x:c>
      <x:c r="D173" s="7" t="str">
        <x:v>40-49</x:v>
      </x:c>
      <x:c r="E173" s="7" t="str">
        <x:v>Female</x:v>
      </x:c>
      <x:c r="F173" s="7" t="n">
        <x:v>267065</x:v>
      </x:c>
      <x:c r="G173" s="7" t="n">
        <x:v>0.050565763230331774</x:v>
      </x:c>
      <x:c r="H173" s="7" t="str">
        <x:v>World Bank API / UN World Population Prospects</x:v>
      </x:c>
      <x:c r="I173" s="7" t="str">
        <x:v>https://api.worldbank.org/v2/</x:v>
      </x:c>
      <x:c r="J173" s="7" t="str">
        <x:v>Ages 15-19 split 60% to 0-17 and 40% to 18-29; age 80+ is sex total minus ages 0-79</x:v>
      </x:c>
    </x:row>
    <x:row r="174" ht="24" hidden="0" customHeight="1">
      <x:c r="A174" s="7" t="str">
        <x:v>Oman</x:v>
      </x:c>
      <x:c r="B174" s="7" t="str">
        <x:v>OMN</x:v>
      </x:c>
      <x:c r="C174" s="7" t="n">
        <x:v>2024</x:v>
      </x:c>
      <x:c r="D174" s="7" t="str">
        <x:v>50-59</x:v>
      </x:c>
      <x:c r="E174" s="7" t="str">
        <x:v>Female</x:v>
      </x:c>
      <x:c r="F174" s="7" t="n">
        <x:v>114392</x:v>
      </x:c>
      <x:c r="G174" s="7" t="n">
        <x:v>0.02165884255684613</x:v>
      </x:c>
      <x:c r="H174" s="7" t="str">
        <x:v>World Bank API / UN World Population Prospects</x:v>
      </x:c>
      <x:c r="I174" s="7" t="str">
        <x:v>https://api.worldbank.org/v2/</x:v>
      </x:c>
      <x:c r="J174" s="7" t="str">
        <x:v>Ages 15-19 split 60% to 0-17 and 40% to 18-29; age 80+ is sex total minus ages 0-79</x:v>
      </x:c>
    </x:row>
    <x:row r="175" ht="24" hidden="0" customHeight="1">
      <x:c r="A175" s="7" t="str">
        <x:v>Oman</x:v>
      </x:c>
      <x:c r="B175" s="7" t="str">
        <x:v>OMN</x:v>
      </x:c>
      <x:c r="C175" s="7" t="n">
        <x:v>2024</x:v>
      </x:c>
      <x:c r="D175" s="7" t="str">
        <x:v>60+</x:v>
      </x:c>
      <x:c r="E175" s="7" t="str">
        <x:v>Female</x:v>
      </x:c>
      <x:c r="F175" s="7" t="n">
        <x:v>110526</x:v>
      </x:c>
      <x:c r="G175" s="7" t="n">
        <x:v>0.0209268588051435</x:v>
      </x:c>
      <x:c r="H175" s="7" t="str">
        <x:v>World Bank API / UN World Population Prospects</x:v>
      </x:c>
      <x:c r="I175" s="7" t="str">
        <x:v>https://api.worldbank.org/v2/</x:v>
      </x:c>
      <x:c r="J175" s="7" t="str">
        <x:v>Ages 15-19 split 60% to 0-17 and 40% to 18-29; age 80+ is sex total minus ages 0-79</x:v>
      </x:c>
    </x:row>
    <x:row r="176" ht="24" hidden="0" customHeight="1">
      <x:c r="A176" s="7" t="str">
        <x:v>Oman</x:v>
      </x:c>
      <x:c r="B176" s="7" t="str">
        <x:v>OMN</x:v>
      </x:c>
      <x:c r="C176" s="7" t="n">
        <x:v>2024</x:v>
      </x:c>
      <x:c r="D176" s="7" t="str">
        <x:v>0-17</x:v>
      </x:c>
      <x:c r="E176" s="7" t="str">
        <x:v>Male</x:v>
      </x:c>
      <x:c r="F176" s="7" t="n">
        <x:v>756104</x:v>
      </x:c>
      <x:c r="G176" s="7" t="n">
        <x:v>0.14315981443284134</x:v>
      </x:c>
      <x:c r="H176" s="7" t="str">
        <x:v>World Bank API / UN World Population Prospects</x:v>
      </x:c>
      <x:c r="I176" s="7" t="str">
        <x:v>https://api.worldbank.org/v2/</x:v>
      </x:c>
      <x:c r="J176" s="7" t="str">
        <x:v>Ages 15-19 split 60% to 0-17 and 40% to 18-29; age 80+ is sex total minus ages 0-79</x:v>
      </x:c>
    </x:row>
    <x:row r="177" ht="24" hidden="0" customHeight="1">
      <x:c r="A177" s="7" t="str">
        <x:v>Oman</x:v>
      </x:c>
      <x:c r="B177" s="7" t="str">
        <x:v>OMN</x:v>
      </x:c>
      <x:c r="C177" s="7" t="n">
        <x:v>2024</x:v>
      </x:c>
      <x:c r="D177" s="7" t="str">
        <x:v>18-29</x:v>
      </x:c>
      <x:c r="E177" s="7" t="str">
        <x:v>Male</x:v>
      </x:c>
      <x:c r="F177" s="7" t="n">
        <x:v>716991</x:v>
      </x:c>
      <x:c r="G177" s="7" t="n">
        <x:v>0.13575420644516806</x:v>
      </x:c>
      <x:c r="H177" s="7" t="str">
        <x:v>World Bank API / UN World Population Prospects</x:v>
      </x:c>
      <x:c r="I177" s="7" t="str">
        <x:v>https://api.worldbank.org/v2/</x:v>
      </x:c>
      <x:c r="J177" s="7" t="str">
        <x:v>Ages 15-19 split 60% to 0-17 and 40% to 18-29; age 80+ is sex total minus ages 0-79</x:v>
      </x:c>
    </x:row>
    <x:row r="178" ht="24" hidden="0" customHeight="1">
      <x:c r="A178" s="7" t="str">
        <x:v>Oman</x:v>
      </x:c>
      <x:c r="B178" s="7" t="str">
        <x:v>OMN</x:v>
      </x:c>
      <x:c r="C178" s="7" t="n">
        <x:v>2024</x:v>
      </x:c>
      <x:c r="D178" s="7" t="str">
        <x:v>30-39</x:v>
      </x:c>
      <x:c r="E178" s="7" t="str">
        <x:v>Male</x:v>
      </x:c>
      <x:c r="F178" s="7" t="n">
        <x:v>917390</x:v>
      </x:c>
      <x:c r="G178" s="7" t="n">
        <x:v>0.17369751008134374</x:v>
      </x:c>
      <x:c r="H178" s="7" t="str">
        <x:v>World Bank API / UN World Population Prospects</x:v>
      </x:c>
      <x:c r="I178" s="7" t="str">
        <x:v>https://api.worldbank.org/v2/</x:v>
      </x:c>
      <x:c r="J178" s="7" t="str">
        <x:v>Ages 15-19 split 60% to 0-17 and 40% to 18-29; age 80+ is sex total minus ages 0-79</x:v>
      </x:c>
    </x:row>
    <x:row r="179" ht="24" hidden="0" customHeight="1">
      <x:c r="A179" s="7" t="str">
        <x:v>Oman</x:v>
      </x:c>
      <x:c r="B179" s="7" t="str">
        <x:v>OMN</x:v>
      </x:c>
      <x:c r="C179" s="7" t="n">
        <x:v>2024</x:v>
      </x:c>
      <x:c r="D179" s="7" t="str">
        <x:v>40-49</x:v>
      </x:c>
      <x:c r="E179" s="7" t="str">
        <x:v>Male</x:v>
      </x:c>
      <x:c r="F179" s="7" t="n">
        <x:v>558144</x:v>
      </x:c>
      <x:c r="G179" s="7" t="n">
        <x:v>0.1056783080988909</x:v>
      </x:c>
      <x:c r="H179" s="7" t="str">
        <x:v>World Bank API / UN World Population Prospects</x:v>
      </x:c>
      <x:c r="I179" s="7" t="str">
        <x:v>https://api.worldbank.org/v2/</x:v>
      </x:c>
      <x:c r="J179" s="7" t="str">
        <x:v>Ages 15-19 split 60% to 0-17 and 40% to 18-29; age 80+ is sex total minus ages 0-79</x:v>
      </x:c>
    </x:row>
    <x:row r="180" ht="24" hidden="0" customHeight="1">
      <x:c r="A180" s="7" t="str">
        <x:v>Oman</x:v>
      </x:c>
      <x:c r="B180" s="7" t="str">
        <x:v>OMN</x:v>
      </x:c>
      <x:c r="C180" s="7" t="n">
        <x:v>2024</x:v>
      </x:c>
      <x:c r="D180" s="7" t="str">
        <x:v>50-59</x:v>
      </x:c>
      <x:c r="E180" s="7" t="str">
        <x:v>Male</x:v>
      </x:c>
      <x:c r="F180" s="7" t="n">
        <x:v>220204</x:v>
      </x:c>
      <x:c r="G180" s="7" t="n">
        <x:v>0.04169315831865642</x:v>
      </x:c>
      <x:c r="H180" s="7" t="str">
        <x:v>World Bank API / UN World Population Prospects</x:v>
      </x:c>
      <x:c r="I180" s="7" t="str">
        <x:v>https://api.worldbank.org/v2/</x:v>
      </x:c>
      <x:c r="J180" s="7" t="str">
        <x:v>Ages 15-19 split 60% to 0-17 and 40% to 18-29; age 80+ is sex total minus ages 0-79</x:v>
      </x:c>
    </x:row>
    <x:row r="181" ht="24" hidden="0" customHeight="1">
      <x:c r="A181" s="7" t="str">
        <x:v>Oman</x:v>
      </x:c>
      <x:c r="B181" s="7" t="str">
        <x:v>OMN</x:v>
      </x:c>
      <x:c r="C181" s="7" t="n">
        <x:v>2024</x:v>
      </x:c>
      <x:c r="D181" s="7" t="str">
        <x:v>60+</x:v>
      </x:c>
      <x:c r="E181" s="7" t="str">
        <x:v>Male</x:v>
      </x:c>
      <x:c r="F181" s="7" t="n">
        <x:v>116996</x:v>
      </x:c>
      <x:c r="G181" s="7" t="n">
        <x:v>0.022151880758975888</x:v>
      </x:c>
      <x:c r="H181" s="7" t="str">
        <x:v>World Bank API / UN World Population Prospects</x:v>
      </x:c>
      <x:c r="I181" s="7" t="str">
        <x:v>https://api.worldbank.org/v2/</x:v>
      </x:c>
      <x:c r="J181" s="7" t="str">
        <x:v>Ages 15-19 split 60% to 0-17 and 40% to 18-29; age 80+ is sex total minus ages 0-79</x:v>
      </x:c>
    </x:row>
    <x:row r="182" ht="24" hidden="0" customHeight="1">
      <x:c r="A182" s="7" t="str">
        <x:v>Papua New Guinea</x:v>
      </x:c>
      <x:c r="B182" s="7" t="str">
        <x:v>PNG</x:v>
      </x:c>
      <x:c r="C182" s="7" t="n">
        <x:v>2024</x:v>
      </x:c>
      <x:c r="D182" s="7" t="str">
        <x:v>0-17</x:v>
      </x:c>
      <x:c r="E182" s="7" t="str">
        <x:v>Female</x:v>
      </x:c>
      <x:c r="F182" s="7" t="n">
        <x:v>2002007.4</x:v>
      </x:c>
      <x:c r="G182" s="7" t="n">
        <x:v>0.18928823537309405</x:v>
      </x:c>
      <x:c r="H182" s="7" t="str">
        <x:v>World Bank API / UN World Population Prospects</x:v>
      </x:c>
      <x:c r="I182" s="7" t="str">
        <x:v>https://api.worldbank.org/v2/</x:v>
      </x:c>
      <x:c r="J182" s="7" t="str">
        <x:v>Ages 15-19 split 60% to 0-17 and 40% to 18-29; age 80+ is sex total minus ages 0-79</x:v>
      </x:c>
    </x:row>
    <x:row r="183" ht="24" hidden="0" customHeight="1">
      <x:c r="A183" s="7" t="str">
        <x:v>Papua New Guinea</x:v>
      </x:c>
      <x:c r="B183" s="7" t="str">
        <x:v>PNG</x:v>
      </x:c>
      <x:c r="C183" s="7" t="n">
        <x:v>2024</x:v>
      </x:c>
      <x:c r="D183" s="7" t="str">
        <x:v>18-29</x:v>
      </x:c>
      <x:c r="E183" s="7" t="str">
        <x:v>Female</x:v>
      </x:c>
      <x:c r="F183" s="7" t="n">
        <x:v>1090411.6</x:v>
      </x:c>
      <x:c r="G183" s="7" t="n">
        <x:v>0.10309756477141498</x:v>
      </x:c>
      <x:c r="H183" s="7" t="str">
        <x:v>World Bank API / UN World Population Prospects</x:v>
      </x:c>
      <x:c r="I183" s="7" t="str">
        <x:v>https://api.worldbank.org/v2/</x:v>
      </x:c>
      <x:c r="J183" s="7" t="str">
        <x:v>Ages 15-19 split 60% to 0-17 and 40% to 18-29; age 80+ is sex total minus ages 0-79</x:v>
      </x:c>
    </x:row>
    <x:row r="184" ht="24" hidden="0" customHeight="1">
      <x:c r="A184" s="7" t="str">
        <x:v>Papua New Guinea</x:v>
      </x:c>
      <x:c r="B184" s="7" t="str">
        <x:v>PNG</x:v>
      </x:c>
      <x:c r="C184" s="7" t="n">
        <x:v>2024</x:v>
      </x:c>
      <x:c r="D184" s="7" t="str">
        <x:v>30-39</x:v>
      </x:c>
      <x:c r="E184" s="7" t="str">
        <x:v>Female</x:v>
      </x:c>
      <x:c r="F184" s="7" t="n">
        <x:v>767683</x:v>
      </x:c>
      <x:c r="G184" s="7" t="n">
        <x:v>0.0725838278099886</x:v>
      </x:c>
      <x:c r="H184" s="7" t="str">
        <x:v>World Bank API / UN World Population Prospects</x:v>
      </x:c>
      <x:c r="I184" s="7" t="str">
        <x:v>https://api.worldbank.org/v2/</x:v>
      </x:c>
      <x:c r="J184" s="7" t="str">
        <x:v>Ages 15-19 split 60% to 0-17 and 40% to 18-29; age 80+ is sex total minus ages 0-79</x:v>
      </x:c>
    </x:row>
    <x:row r="185" ht="24" hidden="0" customHeight="1">
      <x:c r="A185" s="7" t="str">
        <x:v>Papua New Guinea</x:v>
      </x:c>
      <x:c r="B185" s="7" t="str">
        <x:v>PNG</x:v>
      </x:c>
      <x:c r="C185" s="7" t="n">
        <x:v>2024</x:v>
      </x:c>
      <x:c r="D185" s="7" t="str">
        <x:v>40-49</x:v>
      </x:c>
      <x:c r="E185" s="7" t="str">
        <x:v>Female</x:v>
      </x:c>
      <x:c r="F185" s="7" t="n">
        <x:v>586154</x:v>
      </x:c>
      <x:c r="G185" s="7" t="n">
        <x:v>0.055420402700250046</x:v>
      </x:c>
      <x:c r="H185" s="7" t="str">
        <x:v>World Bank API / UN World Population Prospects</x:v>
      </x:c>
      <x:c r="I185" s="7" t="str">
        <x:v>https://api.worldbank.org/v2/</x:v>
      </x:c>
      <x:c r="J185" s="7" t="str">
        <x:v>Ages 15-19 split 60% to 0-17 and 40% to 18-29; age 80+ is sex total minus ages 0-79</x:v>
      </x:c>
    </x:row>
    <x:row r="186" ht="24" hidden="0" customHeight="1">
      <x:c r="A186" s="7" t="str">
        <x:v>Papua New Guinea</x:v>
      </x:c>
      <x:c r="B186" s="7" t="str">
        <x:v>PNG</x:v>
      </x:c>
      <x:c r="C186" s="7" t="n">
        <x:v>2024</x:v>
      </x:c>
      <x:c r="D186" s="7" t="str">
        <x:v>50-59</x:v>
      </x:c>
      <x:c r="E186" s="7" t="str">
        <x:v>Female</x:v>
      </x:c>
      <x:c r="F186" s="7" t="n">
        <x:v>389664</x:v>
      </x:c>
      <x:c r="G186" s="7" t="n">
        <x:v>0.036842426730501254</x:v>
      </x:c>
      <x:c r="H186" s="7" t="str">
        <x:v>World Bank API / UN World Population Prospects</x:v>
      </x:c>
      <x:c r="I186" s="7" t="str">
        <x:v>https://api.worldbank.org/v2/</x:v>
      </x:c>
      <x:c r="J186" s="7" t="str">
        <x:v>Ages 15-19 split 60% to 0-17 and 40% to 18-29; age 80+ is sex total minus ages 0-79</x:v>
      </x:c>
    </x:row>
    <x:row r="187" ht="24" hidden="0" customHeight="1">
      <x:c r="A187" s="7" t="str">
        <x:v>Papua New Guinea</x:v>
      </x:c>
      <x:c r="B187" s="7" t="str">
        <x:v>PNG</x:v>
      </x:c>
      <x:c r="C187" s="7" t="n">
        <x:v>2024</x:v>
      </x:c>
      <x:c r="D187" s="7" t="str">
        <x:v>60+</x:v>
      </x:c>
      <x:c r="E187" s="7" t="str">
        <x:v>Female</x:v>
      </x:c>
      <x:c r="F187" s="7" t="n">
        <x:v>301359</x:v>
      </x:c>
      <x:c r="G187" s="7" t="n">
        <x:v>0.028493257978866735</x:v>
      </x:c>
      <x:c r="H187" s="7" t="str">
        <x:v>World Bank API / UN World Population Prospects</x:v>
      </x:c>
      <x:c r="I187" s="7" t="str">
        <x:v>https://api.worldbank.org/v2/</x:v>
      </x:c>
      <x:c r="J187" s="7" t="str">
        <x:v>Ages 15-19 split 60% to 0-17 and 40% to 18-29; age 80+ is sex total minus ages 0-79</x:v>
      </x:c>
    </x:row>
    <x:row r="188" ht="24" hidden="0" customHeight="1">
      <x:c r="A188" s="7" t="str">
        <x:v>Papua New Guinea</x:v>
      </x:c>
      <x:c r="B188" s="7" t="str">
        <x:v>PNG</x:v>
      </x:c>
      <x:c r="C188" s="7" t="n">
        <x:v>2024</x:v>
      </x:c>
      <x:c r="D188" s="7" t="str">
        <x:v>0-17</x:v>
      </x:c>
      <x:c r="E188" s="7" t="str">
        <x:v>Male</x:v>
      </x:c>
      <x:c r="F188" s="7" t="n">
        <x:v>2166316.6</x:v>
      </x:c>
      <x:c r="G188" s="7" t="n">
        <x:v>0.20482354184776783</x:v>
      </x:c>
      <x:c r="H188" s="7" t="str">
        <x:v>World Bank API / UN World Population Prospects</x:v>
      </x:c>
      <x:c r="I188" s="7" t="str">
        <x:v>https://api.worldbank.org/v2/</x:v>
      </x:c>
      <x:c r="J188" s="7" t="str">
        <x:v>Ages 15-19 split 60% to 0-17 and 40% to 18-29; age 80+ is sex total minus ages 0-79</x:v>
      </x:c>
    </x:row>
    <x:row r="189" ht="24" hidden="0" customHeight="1">
      <x:c r="A189" s="7" t="str">
        <x:v>Papua New Guinea</x:v>
      </x:c>
      <x:c r="B189" s="7" t="str">
        <x:v>PNG</x:v>
      </x:c>
      <x:c r="C189" s="7" t="n">
        <x:v>2024</x:v>
      </x:c>
      <x:c r="D189" s="7" t="str">
        <x:v>18-29</x:v>
      </x:c>
      <x:c r="E189" s="7" t="str">
        <x:v>Male</x:v>
      </x:c>
      <x:c r="F189" s="7" t="n">
        <x:v>1193381.4</x:v>
      </x:c>
      <x:c r="G189" s="7" t="n">
        <x:v>0.11283327890449979</x:v>
      </x:c>
      <x:c r="H189" s="7" t="str">
        <x:v>World Bank API / UN World Population Prospects</x:v>
      </x:c>
      <x:c r="I189" s="7" t="str">
        <x:v>https://api.worldbank.org/v2/</x:v>
      </x:c>
      <x:c r="J189" s="7" t="str">
        <x:v>Ages 15-19 split 60% to 0-17 and 40% to 18-29; age 80+ is sex total minus ages 0-79</x:v>
      </x:c>
    </x:row>
    <x:row r="190" ht="24" hidden="0" customHeight="1">
      <x:c r="A190" s="7" t="str">
        <x:v>Papua New Guinea</x:v>
      </x:c>
      <x:c r="B190" s="7" t="str">
        <x:v>PNG</x:v>
      </x:c>
      <x:c r="C190" s="7" t="n">
        <x:v>2024</x:v>
      </x:c>
      <x:c r="D190" s="7" t="str">
        <x:v>30-39</x:v>
      </x:c>
      <x:c r="E190" s="7" t="str">
        <x:v>Male</x:v>
      </x:c>
      <x:c r="F190" s="7" t="n">
        <x:v>784909</x:v>
      </x:c>
      <x:c r="G190" s="7" t="n">
        <x:v>0.07421253265020893</x:v>
      </x:c>
      <x:c r="H190" s="7" t="str">
        <x:v>World Bank API / UN World Population Prospects</x:v>
      </x:c>
      <x:c r="I190" s="7" t="str">
        <x:v>https://api.worldbank.org/v2/</x:v>
      </x:c>
      <x:c r="J190" s="7" t="str">
        <x:v>Ages 15-19 split 60% to 0-17 and 40% to 18-29; age 80+ is sex total minus ages 0-79</x:v>
      </x:c>
    </x:row>
    <x:row r="191" ht="24" hidden="0" customHeight="1">
      <x:c r="A191" s="7" t="str">
        <x:v>Papua New Guinea</x:v>
      </x:c>
      <x:c r="B191" s="7" t="str">
        <x:v>PNG</x:v>
      </x:c>
      <x:c r="C191" s="7" t="n">
        <x:v>2024</x:v>
      </x:c>
      <x:c r="D191" s="7" t="str">
        <x:v>40-49</x:v>
      </x:c>
      <x:c r="E191" s="7" t="str">
        <x:v>Male</x:v>
      </x:c>
      <x:c r="F191" s="7" t="n">
        <x:v>570207</x:v>
      </x:c>
      <x:c r="G191" s="7" t="n">
        <x:v>0.05391262631066491</x:v>
      </x:c>
      <x:c r="H191" s="7" t="str">
        <x:v>World Bank API / UN World Population Prospects</x:v>
      </x:c>
      <x:c r="I191" s="7" t="str">
        <x:v>https://api.worldbank.org/v2/</x:v>
      </x:c>
      <x:c r="J191" s="7" t="str">
        <x:v>Ages 15-19 split 60% to 0-17 and 40% to 18-29; age 80+ is sex total minus ages 0-79</x:v>
      </x:c>
    </x:row>
    <x:row r="192" ht="24" hidden="0" customHeight="1">
      <x:c r="A192" s="7" t="str">
        <x:v>Papua New Guinea</x:v>
      </x:c>
      <x:c r="B192" s="7" t="str">
        <x:v>PNG</x:v>
      </x:c>
      <x:c r="C192" s="7" t="n">
        <x:v>2024</x:v>
      </x:c>
      <x:c r="D192" s="7" t="str">
        <x:v>50-59</x:v>
      </x:c>
      <x:c r="E192" s="7" t="str">
        <x:v>Male</x:v>
      </x:c>
      <x:c r="F192" s="7" t="n">
        <x:v>398353</x:v>
      </x:c>
      <x:c r="G192" s="7" t="n">
        <x:v>0.037663964891227746</x:v>
      </x:c>
      <x:c r="H192" s="7" t="str">
        <x:v>World Bank API / UN World Population Prospects</x:v>
      </x:c>
      <x:c r="I192" s="7" t="str">
        <x:v>https://api.worldbank.org/v2/</x:v>
      </x:c>
      <x:c r="J192" s="7" t="str">
        <x:v>Ages 15-19 split 60% to 0-17 and 40% to 18-29; age 80+ is sex total minus ages 0-79</x:v>
      </x:c>
    </x:row>
    <x:row r="193" ht="24" hidden="0" customHeight="1">
      <x:c r="A193" s="7" t="str">
        <x:v>Papua New Guinea</x:v>
      </x:c>
      <x:c r="B193" s="7" t="str">
        <x:v>PNG</x:v>
      </x:c>
      <x:c r="C193" s="7" t="n">
        <x:v>2024</x:v>
      </x:c>
      <x:c r="D193" s="7" t="str">
        <x:v>60+</x:v>
      </x:c>
      <x:c r="E193" s="7" t="str">
        <x:v>Male</x:v>
      </x:c>
      <x:c r="F193" s="7" t="n">
        <x:v>326056</x:v>
      </x:c>
      <x:c r="G193" s="7" t="n">
        <x:v>0.030828340031515144</x:v>
      </x:c>
      <x:c r="H193" s="7" t="str">
        <x:v>World Bank API / UN World Population Prospects</x:v>
      </x:c>
      <x:c r="I193" s="7" t="str">
        <x:v>https://api.worldbank.org/v2/</x:v>
      </x:c>
      <x:c r="J193" s="7" t="str">
        <x:v>Ages 15-19 split 60% to 0-17 and 40% to 18-29; age 80+ is sex total minus ages 0-79</x:v>
      </x:c>
    </x:row>
    <x:row r="194" ht="24" hidden="0" customHeight="1">
      <x:c r="A194" s="7" t="str">
        <x:v>Poland</x:v>
      </x:c>
      <x:c r="B194" s="7" t="str">
        <x:v>POL</x:v>
      </x:c>
      <x:c r="C194" s="7" t="n">
        <x:v>2024</x:v>
      </x:c>
      <x:c r="D194" s="7" t="str">
        <x:v>0-17</x:v>
      </x:c>
      <x:c r="E194" s="7" t="str">
        <x:v>Female</x:v>
      </x:c>
      <x:c r="F194" s="7" t="n">
        <x:v>3188587.4</x:v>
      </x:c>
      <x:c r="G194" s="7" t="n">
        <x:v>0.08721702121048328</x:v>
      </x:c>
      <x:c r="H194" s="7" t="str">
        <x:v>World Bank API / UN World Population Prospects</x:v>
      </x:c>
      <x:c r="I194" s="7" t="str">
        <x:v>https://api.worldbank.org/v2/</x:v>
      </x:c>
      <x:c r="J194" s="7" t="str">
        <x:v>Ages 15-19 split 60% to 0-17 and 40% to 18-29; age 80+ is sex total minus ages 0-79</x:v>
      </x:c>
    </x:row>
    <x:row r="195" ht="24" hidden="0" customHeight="1">
      <x:c r="A195" s="7" t="str">
        <x:v>Poland</x:v>
      </x:c>
      <x:c r="B195" s="7" t="str">
        <x:v>POL</x:v>
      </x:c>
      <x:c r="C195" s="7" t="n">
        <x:v>2024</x:v>
      </x:c>
      <x:c r="D195" s="7" t="str">
        <x:v>18-29</x:v>
      </x:c>
      <x:c r="E195" s="7" t="str">
        <x:v>Female</x:v>
      </x:c>
      <x:c r="F195" s="7" t="n">
        <x:v>2219478.6</x:v>
      </x:c>
      <x:c r="G195" s="7" t="n">
        <x:v>0.060709112797853286</x:v>
      </x:c>
      <x:c r="H195" s="7" t="str">
        <x:v>World Bank API / UN World Population Prospects</x:v>
      </x:c>
      <x:c r="I195" s="7" t="str">
        <x:v>https://api.worldbank.org/v2/</x:v>
      </x:c>
      <x:c r="J195" s="7" t="str">
        <x:v>Ages 15-19 split 60% to 0-17 and 40% to 18-29; age 80+ is sex total minus ages 0-79</x:v>
      </x:c>
    </x:row>
    <x:row r="196" ht="24" hidden="0" customHeight="1">
      <x:c r="A196" s="7" t="str">
        <x:v>Poland</x:v>
      </x:c>
      <x:c r="B196" s="7" t="str">
        <x:v>POL</x:v>
      </x:c>
      <x:c r="C196" s="7" t="n">
        <x:v>2024</x:v>
      </x:c>
      <x:c r="D196" s="7" t="str">
        <x:v>30-39</x:v>
      </x:c>
      <x:c r="E196" s="7" t="str">
        <x:v>Female</x:v>
      </x:c>
      <x:c r="F196" s="7" t="n">
        <x:v>2648639</x:v>
      </x:c>
      <x:c r="G196" s="7" t="n">
        <x:v>0.07244788204391488</x:v>
      </x:c>
      <x:c r="H196" s="7" t="str">
        <x:v>World Bank API / UN World Population Prospects</x:v>
      </x:c>
      <x:c r="I196" s="7" t="str">
        <x:v>https://api.worldbank.org/v2/</x:v>
      </x:c>
      <x:c r="J196" s="7" t="str">
        <x:v>Ages 15-19 split 60% to 0-17 and 40% to 18-29; age 80+ is sex total minus ages 0-79</x:v>
      </x:c>
    </x:row>
    <x:row r="197" ht="24" hidden="0" customHeight="1">
      <x:c r="A197" s="7" t="str">
        <x:v>Poland</x:v>
      </x:c>
      <x:c r="B197" s="7" t="str">
        <x:v>POL</x:v>
      </x:c>
      <x:c r="C197" s="7" t="n">
        <x:v>2024</x:v>
      </x:c>
      <x:c r="D197" s="7" t="str">
        <x:v>40-49</x:v>
      </x:c>
      <x:c r="E197" s="7" t="str">
        <x:v>Female</x:v>
      </x:c>
      <x:c r="F197" s="7" t="n">
        <x:v>2949444</x:v>
      </x:c>
      <x:c r="G197" s="7" t="n">
        <x:v>0.08067576253582781</x:v>
      </x:c>
      <x:c r="H197" s="7" t="str">
        <x:v>World Bank API / UN World Population Prospects</x:v>
      </x:c>
      <x:c r="I197" s="7" t="str">
        <x:v>https://api.worldbank.org/v2/</x:v>
      </x:c>
      <x:c r="J197" s="7" t="str">
        <x:v>Ages 15-19 split 60% to 0-17 and 40% to 18-29; age 80+ is sex total minus ages 0-79</x:v>
      </x:c>
    </x:row>
    <x:row r="198" ht="24" hidden="0" customHeight="1">
      <x:c r="A198" s="7" t="str">
        <x:v>Poland</x:v>
      </x:c>
      <x:c r="B198" s="7" t="str">
        <x:v>POL</x:v>
      </x:c>
      <x:c r="C198" s="7" t="n">
        <x:v>2024</x:v>
      </x:c>
      <x:c r="D198" s="7" t="str">
        <x:v>50-59</x:v>
      </x:c>
      <x:c r="E198" s="7" t="str">
        <x:v>Female</x:v>
      </x:c>
      <x:c r="F198" s="7" t="n">
        <x:v>2276047</x:v>
      </x:c>
      <x:c r="G198" s="7" t="n">
        <x:v>0.06225642097031959</x:v>
      </x:c>
      <x:c r="H198" s="7" t="str">
        <x:v>World Bank API / UN World Population Prospects</x:v>
      </x:c>
      <x:c r="I198" s="7" t="str">
        <x:v>https://api.worldbank.org/v2/</x:v>
      </x:c>
      <x:c r="J198" s="7" t="str">
        <x:v>Ages 15-19 split 60% to 0-17 and 40% to 18-29; age 80+ is sex total minus ages 0-79</x:v>
      </x:c>
    </x:row>
    <x:row r="199" ht="24" hidden="0" customHeight="1">
      <x:c r="A199" s="7" t="str">
        <x:v>Poland</x:v>
      </x:c>
      <x:c r="B199" s="7" t="str">
        <x:v>POL</x:v>
      </x:c>
      <x:c r="C199" s="7" t="n">
        <x:v>2024</x:v>
      </x:c>
      <x:c r="D199" s="7" t="str">
        <x:v>60+</x:v>
      </x:c>
      <x:c r="E199" s="7" t="str">
        <x:v>Female</x:v>
      </x:c>
      <x:c r="F199" s="7" t="n">
        <x:v>5564407</x:v>
      </x:c>
      <x:c r="G199" s="7" t="n">
        <x:v>0.15220250928130796</x:v>
      </x:c>
      <x:c r="H199" s="7" t="str">
        <x:v>World Bank API / UN World Population Prospects</x:v>
      </x:c>
      <x:c r="I199" s="7" t="str">
        <x:v>https://api.worldbank.org/v2/</x:v>
      </x:c>
      <x:c r="J199" s="7" t="str">
        <x:v>Ages 15-19 split 60% to 0-17 and 40% to 18-29; age 80+ is sex total minus ages 0-79</x:v>
      </x:c>
    </x:row>
    <x:row r="200" ht="24" hidden="0" customHeight="1">
      <x:c r="A200" s="7" t="str">
        <x:v>Poland</x:v>
      </x:c>
      <x:c r="B200" s="7" t="str">
        <x:v>POL</x:v>
      </x:c>
      <x:c r="C200" s="7" t="n">
        <x:v>2024</x:v>
      </x:c>
      <x:c r="D200" s="7" t="str">
        <x:v>0-17</x:v>
      </x:c>
      <x:c r="E200" s="7" t="str">
        <x:v>Male</x:v>
      </x:c>
      <x:c r="F200" s="7" t="n">
        <x:v>3363802.4</x:v>
      </x:c>
      <x:c r="G200" s="7" t="n">
        <x:v>0.09200965457891307</x:v>
      </x:c>
      <x:c r="H200" s="7" t="str">
        <x:v>World Bank API / UN World Population Prospects</x:v>
      </x:c>
      <x:c r="I200" s="7" t="str">
        <x:v>https://api.worldbank.org/v2/</x:v>
      </x:c>
      <x:c r="J200" s="7" t="str">
        <x:v>Ages 15-19 split 60% to 0-17 and 40% to 18-29; age 80+ is sex total minus ages 0-79</x:v>
      </x:c>
    </x:row>
    <x:row r="201" ht="24" hidden="0" customHeight="1">
      <x:c r="A201" s="7" t="str">
        <x:v>Poland</x:v>
      </x:c>
      <x:c r="B201" s="7" t="str">
        <x:v>POL</x:v>
      </x:c>
      <x:c r="C201" s="7" t="n">
        <x:v>2024</x:v>
      </x:c>
      <x:c r="D201" s="7" t="str">
        <x:v>18-29</x:v>
      </x:c>
      <x:c r="E201" s="7" t="str">
        <x:v>Male</x:v>
      </x:c>
      <x:c r="F201" s="7" t="n">
        <x:v>2321195.6</x:v>
      </x:c>
      <x:c r="G201" s="7" t="n">
        <x:v>0.063491364821576</x:v>
      </x:c>
      <x:c r="H201" s="7" t="str">
        <x:v>World Bank API / UN World Population Prospects</x:v>
      </x:c>
      <x:c r="I201" s="7" t="str">
        <x:v>https://api.worldbank.org/v2/</x:v>
      </x:c>
      <x:c r="J201" s="7" t="str">
        <x:v>Ages 15-19 split 60% to 0-17 and 40% to 18-29; age 80+ is sex total minus ages 0-79</x:v>
      </x:c>
    </x:row>
    <x:row r="202" ht="24" hidden="0" customHeight="1">
      <x:c r="A202" s="7" t="str">
        <x:v>Poland</x:v>
      </x:c>
      <x:c r="B202" s="7" t="str">
        <x:v>POL</x:v>
      </x:c>
      <x:c r="C202" s="7" t="n">
        <x:v>2024</x:v>
      </x:c>
      <x:c r="D202" s="7" t="str">
        <x:v>30-39</x:v>
      </x:c>
      <x:c r="E202" s="7" t="str">
        <x:v>Male</x:v>
      </x:c>
      <x:c r="F202" s="7" t="n">
        <x:v>2751010</x:v>
      </x:c>
      <x:c r="G202" s="7" t="n">
        <x:v>0.07524802284555587</x:v>
      </x:c>
      <x:c r="H202" s="7" t="str">
        <x:v>World Bank API / UN World Population Prospects</x:v>
      </x:c>
      <x:c r="I202" s="7" t="str">
        <x:v>https://api.worldbank.org/v2/</x:v>
      </x:c>
      <x:c r="J202" s="7" t="str">
        <x:v>Ages 15-19 split 60% to 0-17 and 40% to 18-29; age 80+ is sex total minus ages 0-79</x:v>
      </x:c>
    </x:row>
    <x:row r="203" ht="24" hidden="0" customHeight="1">
      <x:c r="A203" s="7" t="str">
        <x:v>Poland</x:v>
      </x:c>
      <x:c r="B203" s="7" t="str">
        <x:v>POL</x:v>
      </x:c>
      <x:c r="C203" s="7" t="n">
        <x:v>2024</x:v>
      </x:c>
      <x:c r="D203" s="7" t="str">
        <x:v>40-49</x:v>
      </x:c>
      <x:c r="E203" s="7" t="str">
        <x:v>Male</x:v>
      </x:c>
      <x:c r="F203" s="7" t="n">
        <x:v>3011982</x:v>
      </x:c>
      <x:c r="G203" s="7" t="n">
        <x:v>0.08238635640961067</x:v>
      </x:c>
      <x:c r="H203" s="7" t="str">
        <x:v>World Bank API / UN World Population Prospects</x:v>
      </x:c>
      <x:c r="I203" s="7" t="str">
        <x:v>https://api.worldbank.org/v2/</x:v>
      </x:c>
      <x:c r="J203" s="7" t="str">
        <x:v>Ages 15-19 split 60% to 0-17 and 40% to 18-29; age 80+ is sex total minus ages 0-79</x:v>
      </x:c>
    </x:row>
    <x:row r="204" ht="24" hidden="0" customHeight="1">
      <x:c r="A204" s="7" t="str">
        <x:v>Poland</x:v>
      </x:c>
      <x:c r="B204" s="7" t="str">
        <x:v>POL</x:v>
      </x:c>
      <x:c r="C204" s="7" t="n">
        <x:v>2024</x:v>
      </x:c>
      <x:c r="D204" s="7" t="str">
        <x:v>50-59</x:v>
      </x:c>
      <x:c r="E204" s="7" t="str">
        <x:v>Male</x:v>
      </x:c>
      <x:c r="F204" s="7" t="n">
        <x:v>2226758</x:v>
      </x:c>
      <x:c r="G204" s="7" t="n">
        <x:v>0.06090822529017499</x:v>
      </x:c>
      <x:c r="H204" s="7" t="str">
        <x:v>World Bank API / UN World Population Prospects</x:v>
      </x:c>
      <x:c r="I204" s="7" t="str">
        <x:v>https://api.worldbank.org/v2/</x:v>
      </x:c>
      <x:c r="J204" s="7" t="str">
        <x:v>Ages 15-19 split 60% to 0-17 and 40% to 18-29; age 80+ is sex total minus ages 0-79</x:v>
      </x:c>
    </x:row>
    <x:row r="205" ht="24" hidden="0" customHeight="1">
      <x:c r="A205" s="7" t="str">
        <x:v>Poland</x:v>
      </x:c>
      <x:c r="B205" s="7" t="str">
        <x:v>POL</x:v>
      </x:c>
      <x:c r="C205" s="7" t="n">
        <x:v>2024</x:v>
      </x:c>
      <x:c r="D205" s="7" t="str">
        <x:v>60+</x:v>
      </x:c>
      <x:c r="E205" s="7" t="str">
        <x:v>Male</x:v>
      </x:c>
      <x:c r="F205" s="7" t="n">
        <x:v>4037882</x:v>
      </x:c>
      <x:c r="G205" s="7" t="n">
        <x:v>0.11044766721446263</x:v>
      </x:c>
      <x:c r="H205" s="7" t="str">
        <x:v>World Bank API / UN World Population Prospects</x:v>
      </x:c>
      <x:c r="I205" s="7" t="str">
        <x:v>https://api.worldbank.org/v2/</x:v>
      </x:c>
      <x:c r="J205" s="7" t="str">
        <x:v>Ages 15-19 split 60% to 0-17 and 40% to 18-29; age 80+ is sex total minus ages 0-79</x:v>
      </x:c>
    </x:row>
    <x:row r="206" ht="24" hidden="0" customHeight="1">
      <x:c r="A206" s="7" t="str">
        <x:v>Saudi Arabia</x:v>
      </x:c>
      <x:c r="B206" s="7" t="str">
        <x:v>SAU</x:v>
      </x:c>
      <x:c r="C206" s="7" t="n">
        <x:v>2024</x:v>
      </x:c>
      <x:c r="D206" s="7" t="str">
        <x:v>0-17</x:v>
      </x:c>
      <x:c r="E206" s="7" t="str">
        <x:v>Female</x:v>
      </x:c>
      <x:c r="F206" s="7" t="n">
        <x:v>4860677</x:v>
      </x:c>
      <x:c r="G206" s="7" t="n">
        <x:v>0.13769514009520603</x:v>
      </x:c>
      <x:c r="H206" s="7" t="str">
        <x:v>World Bank API / UN World Population Prospects</x:v>
      </x:c>
      <x:c r="I206" s="7" t="str">
        <x:v>https://api.worldbank.org/v2/</x:v>
      </x:c>
      <x:c r="J206" s="7" t="str">
        <x:v>Ages 15-19 split 60% to 0-17 and 40% to 18-29; age 80+ is sex total minus ages 0-79</x:v>
      </x:c>
    </x:row>
    <x:row r="207" ht="24" hidden="0" customHeight="1">
      <x:c r="A207" s="7" t="str">
        <x:v>Saudi Arabia</x:v>
      </x:c>
      <x:c r="B207" s="7" t="str">
        <x:v>SAU</x:v>
      </x:c>
      <x:c r="C207" s="7" t="n">
        <x:v>2024</x:v>
      </x:c>
      <x:c r="D207" s="7" t="str">
        <x:v>18-29</x:v>
      </x:c>
      <x:c r="E207" s="7" t="str">
        <x:v>Female</x:v>
      </x:c>
      <x:c r="F207" s="7" t="n">
        <x:v>2960770</x:v>
      </x:c>
      <x:c r="G207" s="7" t="n">
        <x:v>0.08387383896105073</x:v>
      </x:c>
      <x:c r="H207" s="7" t="str">
        <x:v>World Bank API / UN World Population Prospects</x:v>
      </x:c>
      <x:c r="I207" s="7" t="str">
        <x:v>https://api.worldbank.org/v2/</x:v>
      </x:c>
      <x:c r="J207" s="7" t="str">
        <x:v>Ages 15-19 split 60% to 0-17 and 40% to 18-29; age 80+ is sex total minus ages 0-79</x:v>
      </x:c>
    </x:row>
    <x:row r="208" ht="24" hidden="0" customHeight="1">
      <x:c r="A208" s="7" t="str">
        <x:v>Saudi Arabia</x:v>
      </x:c>
      <x:c r="B208" s="7" t="str">
        <x:v>SAU</x:v>
      </x:c>
      <x:c r="C208" s="7" t="n">
        <x:v>2024</x:v>
      </x:c>
      <x:c r="D208" s="7" t="str">
        <x:v>30-39</x:v>
      </x:c>
      <x:c r="E208" s="7" t="str">
        <x:v>Female</x:v>
      </x:c>
      <x:c r="F208" s="7" t="n">
        <x:v>2676257</x:v>
      </x:c>
      <x:c r="G208" s="7" t="n">
        <x:v>0.07581404453449095</x:v>
      </x:c>
      <x:c r="H208" s="7" t="str">
        <x:v>World Bank API / UN World Population Prospects</x:v>
      </x:c>
      <x:c r="I208" s="7" t="str">
        <x:v>https://api.worldbank.org/v2/</x:v>
      </x:c>
      <x:c r="J208" s="7" t="str">
        <x:v>Ages 15-19 split 60% to 0-17 and 40% to 18-29; age 80+ is sex total minus ages 0-79</x:v>
      </x:c>
    </x:row>
    <x:row r="209" ht="24" hidden="0" customHeight="1">
      <x:c r="A209" s="7" t="str">
        <x:v>Saudi Arabia</x:v>
      </x:c>
      <x:c r="B209" s="7" t="str">
        <x:v>SAU</x:v>
      </x:c>
      <x:c r="C209" s="7" t="n">
        <x:v>2024</x:v>
      </x:c>
      <x:c r="D209" s="7" t="str">
        <x:v>40-49</x:v>
      </x:c>
      <x:c r="E209" s="7" t="str">
        <x:v>Female</x:v>
      </x:c>
      <x:c r="F209" s="7" t="n">
        <x:v>1729902</x:v>
      </x:c>
      <x:c r="G209" s="7" t="n">
        <x:v>0.049005333668741435</x:v>
      </x:c>
      <x:c r="H209" s="7" t="str">
        <x:v>World Bank API / UN World Population Prospects</x:v>
      </x:c>
      <x:c r="I209" s="7" t="str">
        <x:v>https://api.worldbank.org/v2/</x:v>
      </x:c>
      <x:c r="J209" s="7" t="str">
        <x:v>Ages 15-19 split 60% to 0-17 and 40% to 18-29; age 80+ is sex total minus ages 0-79</x:v>
      </x:c>
    </x:row>
    <x:row r="210" ht="24" hidden="0" customHeight="1">
      <x:c r="A210" s="7" t="str">
        <x:v>Saudi Arabia</x:v>
      </x:c>
      <x:c r="B210" s="7" t="str">
        <x:v>SAU</x:v>
      </x:c>
      <x:c r="C210" s="7" t="n">
        <x:v>2024</x:v>
      </x:c>
      <x:c r="D210" s="7" t="str">
        <x:v>50-59</x:v>
      </x:c>
      <x:c r="E210" s="7" t="str">
        <x:v>Female</x:v>
      </x:c>
      <x:c r="F210" s="7" t="n">
        <x:v>937615</x:v>
      </x:c>
      <x:c r="G210" s="7" t="n">
        <x:v>0.02656112076164835</x:v>
      </x:c>
      <x:c r="H210" s="7" t="str">
        <x:v>World Bank API / UN World Population Prospects</x:v>
      </x:c>
      <x:c r="I210" s="7" t="str">
        <x:v>https://api.worldbank.org/v2/</x:v>
      </x:c>
      <x:c r="J210" s="7" t="str">
        <x:v>Ages 15-19 split 60% to 0-17 and 40% to 18-29; age 80+ is sex total minus ages 0-79</x:v>
      </x:c>
    </x:row>
    <x:row r="211" ht="24" hidden="0" customHeight="1">
      <x:c r="A211" s="7" t="str">
        <x:v>Saudi Arabia</x:v>
      </x:c>
      <x:c r="B211" s="7" t="str">
        <x:v>SAU</x:v>
      </x:c>
      <x:c r="C211" s="7" t="n">
        <x:v>2024</x:v>
      </x:c>
      <x:c r="D211" s="7" t="str">
        <x:v>60+</x:v>
      </x:c>
      <x:c r="E211" s="7" t="str">
        <x:v>Female</x:v>
      </x:c>
      <x:c r="F211" s="7" t="n">
        <x:v>765894</x:v>
      </x:c>
      <x:c r="G211" s="7" t="n">
        <x:v>0.02169654178380455</x:v>
      </x:c>
      <x:c r="H211" s="7" t="str">
        <x:v>World Bank API / UN World Population Prospects</x:v>
      </x:c>
      <x:c r="I211" s="7" t="str">
        <x:v>https://api.worldbank.org/v2/</x:v>
      </x:c>
      <x:c r="J211" s="7" t="str">
        <x:v>Ages 15-19 split 60% to 0-17 and 40% to 18-29; age 80+ is sex total minus ages 0-79</x:v>
      </x:c>
    </x:row>
    <x:row r="212" ht="24" hidden="0" customHeight="1">
      <x:c r="A212" s="7" t="str">
        <x:v>Saudi Arabia</x:v>
      </x:c>
      <x:c r="B212" s="7" t="str">
        <x:v>SAU</x:v>
      </x:c>
      <x:c r="C212" s="7" t="n">
        <x:v>2024</x:v>
      </x:c>
      <x:c r="D212" s="7" t="str">
        <x:v>0-17</x:v>
      </x:c>
      <x:c r="E212" s="7" t="str">
        <x:v>Male</x:v>
      </x:c>
      <x:c r="F212" s="7" t="n">
        <x:v>5066351</x:v>
      </x:c>
      <x:c r="G212" s="7" t="n">
        <x:v>0.14352155280354717</x:v>
      </x:c>
      <x:c r="H212" s="7" t="str">
        <x:v>World Bank API / UN World Population Prospects</x:v>
      </x:c>
      <x:c r="I212" s="7" t="str">
        <x:v>https://api.worldbank.org/v2/</x:v>
      </x:c>
      <x:c r="J212" s="7" t="str">
        <x:v>Ages 15-19 split 60% to 0-17 and 40% to 18-29; age 80+ is sex total minus ages 0-79</x:v>
      </x:c>
    </x:row>
    <x:row r="213" ht="24" hidden="0" customHeight="1">
      <x:c r="A213" s="7" t="str">
        <x:v>Saudi Arabia</x:v>
      </x:c>
      <x:c r="B213" s="7" t="str">
        <x:v>SAU</x:v>
      </x:c>
      <x:c r="C213" s="7" t="n">
        <x:v>2024</x:v>
      </x:c>
      <x:c r="D213" s="7" t="str">
        <x:v>18-29</x:v>
      </x:c>
      <x:c r="E213" s="7" t="str">
        <x:v>Male</x:v>
      </x:c>
      <x:c r="F213" s="7" t="n">
        <x:v>4303640</x:v>
      </x:c>
      <x:c r="G213" s="7" t="n">
        <x:v>0.12191518027619044</x:v>
      </x:c>
      <x:c r="H213" s="7" t="str">
        <x:v>World Bank API / UN World Population Prospects</x:v>
      </x:c>
      <x:c r="I213" s="7" t="str">
        <x:v>https://api.worldbank.org/v2/</x:v>
      </x:c>
      <x:c r="J213" s="7" t="str">
        <x:v>Ages 15-19 split 60% to 0-17 and 40% to 18-29; age 80+ is sex total minus ages 0-79</x:v>
      </x:c>
    </x:row>
    <x:row r="214" ht="24" hidden="0" customHeight="1">
      <x:c r="A214" s="7" t="str">
        <x:v>Saudi Arabia</x:v>
      </x:c>
      <x:c r="B214" s="7" t="str">
        <x:v>SAU</x:v>
      </x:c>
      <x:c r="C214" s="7" t="n">
        <x:v>2024</x:v>
      </x:c>
      <x:c r="D214" s="7" t="str">
        <x:v>30-39</x:v>
      </x:c>
      <x:c r="E214" s="7" t="str">
        <x:v>Male</x:v>
      </x:c>
      <x:c r="F214" s="7" t="n">
        <x:v>5427581</x:v>
      </x:c>
      <x:c r="G214" s="7" t="n">
        <x:v>0.15375461611069374</x:v>
      </x:c>
      <x:c r="H214" s="7" t="str">
        <x:v>World Bank API / UN World Population Prospects</x:v>
      </x:c>
      <x:c r="I214" s="7" t="str">
        <x:v>https://api.worldbank.org/v2/</x:v>
      </x:c>
      <x:c r="J214" s="7" t="str">
        <x:v>Ages 15-19 split 60% to 0-17 and 40% to 18-29; age 80+ is sex total minus ages 0-79</x:v>
      </x:c>
    </x:row>
    <x:row r="215" ht="24" hidden="0" customHeight="1">
      <x:c r="A215" s="7" t="str">
        <x:v>Saudi Arabia</x:v>
      </x:c>
      <x:c r="B215" s="7" t="str">
        <x:v>SAU</x:v>
      </x:c>
      <x:c r="C215" s="7" t="n">
        <x:v>2024</x:v>
      </x:c>
      <x:c r="D215" s="7" t="str">
        <x:v>40-49</x:v>
      </x:c>
      <x:c r="E215" s="7" t="str">
        <x:v>Male</x:v>
      </x:c>
      <x:c r="F215" s="7" t="n">
        <x:v>3654171</x:v>
      </x:c>
      <x:c r="G215" s="7" t="n">
        <x:v>0.10351677097178832</x:v>
      </x:c>
      <x:c r="H215" s="7" t="str">
        <x:v>World Bank API / UN World Population Prospects</x:v>
      </x:c>
      <x:c r="I215" s="7" t="str">
        <x:v>https://api.worldbank.org/v2/</x:v>
      </x:c>
      <x:c r="J215" s="7" t="str">
        <x:v>Ages 15-19 split 60% to 0-17 and 40% to 18-29; age 80+ is sex total minus ages 0-79</x:v>
      </x:c>
    </x:row>
    <x:row r="216" ht="24" hidden="0" customHeight="1">
      <x:c r="A216" s="7" t="str">
        <x:v>Saudi Arabia</x:v>
      </x:c>
      <x:c r="B216" s="7" t="str">
        <x:v>SAU</x:v>
      </x:c>
      <x:c r="C216" s="7" t="n">
        <x:v>2024</x:v>
      </x:c>
      <x:c r="D216" s="7" t="str">
        <x:v>50-59</x:v>
      </x:c>
      <x:c r="E216" s="7" t="str">
        <x:v>Male</x:v>
      </x:c>
      <x:c r="F216" s="7" t="n">
        <x:v>1847052</x:v>
      </x:c>
      <x:c r="G216" s="7" t="n">
        <x:v>0.05232400422886164</x:v>
      </x:c>
      <x:c r="H216" s="7" t="str">
        <x:v>World Bank API / UN World Population Prospects</x:v>
      </x:c>
      <x:c r="I216" s="7" t="str">
        <x:v>https://api.worldbank.org/v2/</x:v>
      </x:c>
      <x:c r="J216" s="7" t="str">
        <x:v>Ages 15-19 split 60% to 0-17 and 40% to 18-29; age 80+ is sex total minus ages 0-79</x:v>
      </x:c>
    </x:row>
    <x:row r="217" ht="24" hidden="0" customHeight="1">
      <x:c r="A217" s="7" t="str">
        <x:v>Saudi Arabia</x:v>
      </x:c>
      <x:c r="B217" s="7" t="str">
        <x:v>SAU</x:v>
      </x:c>
      <x:c r="C217" s="7" t="n">
        <x:v>2024</x:v>
      </x:c>
      <x:c r="D217" s="7" t="str">
        <x:v>60+</x:v>
      </x:c>
      <x:c r="E217" s="7" t="str">
        <x:v>Male</x:v>
      </x:c>
      <x:c r="F217" s="7" t="n">
        <x:v>1070370</x:v>
      </x:c>
      <x:c r="G217" s="7" t="n">
        <x:v>0.030321855803976627</x:v>
      </x:c>
      <x:c r="H217" s="7" t="str">
        <x:v>World Bank API / UN World Population Prospects</x:v>
      </x:c>
      <x:c r="I217" s="7" t="str">
        <x:v>https://api.worldbank.org/v2/</x:v>
      </x:c>
      <x:c r="J217" s="7" t="str">
        <x:v>Ages 15-19 split 60% to 0-17 and 40% to 18-29; age 80+ is sex total minus ages 0-79</x:v>
      </x:c>
    </x:row>
    <x:row r="218" ht="24" hidden="0" customHeight="1">
      <x:c r="A218" s="7" t="str">
        <x:v>Serbia</x:v>
      </x:c>
      <x:c r="B218" s="7" t="str">
        <x:v>SRB</x:v>
      </x:c>
      <x:c r="C218" s="7" t="n">
        <x:v>2024</x:v>
      </x:c>
      <x:c r="D218" s="7" t="str">
        <x:v>0-17</x:v>
      </x:c>
      <x:c r="E218" s="7" t="str">
        <x:v>Female</x:v>
      </x:c>
      <x:c r="F218" s="7" t="n">
        <x:v>565479.6</x:v>
      </x:c>
      <x:c r="G218" s="7" t="n">
        <x:v>0.08585465125812346</x:v>
      </x:c>
      <x:c r="H218" s="7" t="str">
        <x:v>World Bank API / UN World Population Prospects</x:v>
      </x:c>
      <x:c r="I218" s="7" t="str">
        <x:v>https://api.worldbank.org/v2/</x:v>
      </x:c>
      <x:c r="J218" s="7" t="str">
        <x:v>Ages 15-19 split 60% to 0-17 and 40% to 18-29; age 80+ is sex total minus ages 0-79</x:v>
      </x:c>
    </x:row>
    <x:row r="219" ht="24" hidden="0" customHeight="1">
      <x:c r="A219" s="7" t="str">
        <x:v>Serbia</x:v>
      </x:c>
      <x:c r="B219" s="7" t="str">
        <x:v>SRB</x:v>
      </x:c>
      <x:c r="C219" s="7" t="n">
        <x:v>2024</x:v>
      </x:c>
      <x:c r="D219" s="7" t="str">
        <x:v>18-29</x:v>
      </x:c>
      <x:c r="E219" s="7" t="str">
        <x:v>Female</x:v>
      </x:c>
      <x:c r="F219" s="7" t="n">
        <x:v>421633.4</x:v>
      </x:c>
      <x:c r="G219" s="7" t="n">
        <x:v>0.06401502108259409</x:v>
      </x:c>
      <x:c r="H219" s="7" t="str">
        <x:v>World Bank API / UN World Population Prospects</x:v>
      </x:c>
      <x:c r="I219" s="7" t="str">
        <x:v>https://api.worldbank.org/v2/</x:v>
      </x:c>
      <x:c r="J219" s="7" t="str">
        <x:v>Ages 15-19 split 60% to 0-17 and 40% to 18-29; age 80+ is sex total minus ages 0-79</x:v>
      </x:c>
    </x:row>
    <x:row r="220" ht="24" hidden="0" customHeight="1">
      <x:c r="A220" s="7" t="str">
        <x:v>Serbia</x:v>
      </x:c>
      <x:c r="B220" s="7" t="str">
        <x:v>SRB</x:v>
      </x:c>
      <x:c r="C220" s="7" t="n">
        <x:v>2024</x:v>
      </x:c>
      <x:c r="D220" s="7" t="str">
        <x:v>30-39</x:v>
      </x:c>
      <x:c r="E220" s="7" t="str">
        <x:v>Female</x:v>
      </x:c>
      <x:c r="F220" s="7" t="n">
        <x:v>418986</x:v>
      </x:c>
      <x:c r="G220" s="7" t="n">
        <x:v>0.06361307624896834</x:v>
      </x:c>
      <x:c r="H220" s="7" t="str">
        <x:v>World Bank API / UN World Population Prospects</x:v>
      </x:c>
      <x:c r="I220" s="7" t="str">
        <x:v>https://api.worldbank.org/v2/</x:v>
      </x:c>
      <x:c r="J220" s="7" t="str">
        <x:v>Ages 15-19 split 60% to 0-17 and 40% to 18-29; age 80+ is sex total minus ages 0-79</x:v>
      </x:c>
    </x:row>
    <x:row r="221" ht="24" hidden="0" customHeight="1">
      <x:c r="A221" s="7" t="str">
        <x:v>Serbia</x:v>
      </x:c>
      <x:c r="B221" s="7" t="str">
        <x:v>SRB</x:v>
      </x:c>
      <x:c r="C221" s="7" t="n">
        <x:v>2024</x:v>
      </x:c>
      <x:c r="D221" s="7" t="str">
        <x:v>40-49</x:v>
      </x:c>
      <x:c r="E221" s="7" t="str">
        <x:v>Female</x:v>
      </x:c>
      <x:c r="F221" s="7" t="n">
        <x:v>478992</x:v>
      </x:c>
      <x:c r="G221" s="7" t="n">
        <x:v>0.07272356264563934</x:v>
      </x:c>
      <x:c r="H221" s="7" t="str">
        <x:v>World Bank API / UN World Population Prospects</x:v>
      </x:c>
      <x:c r="I221" s="7" t="str">
        <x:v>https://api.worldbank.org/v2/</x:v>
      </x:c>
      <x:c r="J221" s="7" t="str">
        <x:v>Ages 15-19 split 60% to 0-17 and 40% to 18-29; age 80+ is sex total minus ages 0-79</x:v>
      </x:c>
    </x:row>
    <x:row r="222" ht="24" hidden="0" customHeight="1">
      <x:c r="A222" s="7" t="str">
        <x:v>Serbia</x:v>
      </x:c>
      <x:c r="B222" s="7" t="str">
        <x:v>SRB</x:v>
      </x:c>
      <x:c r="C222" s="7" t="n">
        <x:v>2024</x:v>
      </x:c>
      <x:c r="D222" s="7" t="str">
        <x:v>50-59</x:v>
      </x:c>
      <x:c r="E222" s="7" t="str">
        <x:v>Female</x:v>
      </x:c>
      <x:c r="F222" s="7" t="n">
        <x:v>460606</x:v>
      </x:c>
      <x:c r="G222" s="7" t="n">
        <x:v>0.06993208507857616</x:v>
      </x:c>
      <x:c r="H222" s="7" t="str">
        <x:v>World Bank API / UN World Population Prospects</x:v>
      </x:c>
      <x:c r="I222" s="7" t="str">
        <x:v>https://api.worldbank.org/v2/</x:v>
      </x:c>
      <x:c r="J222" s="7" t="str">
        <x:v>Ages 15-19 split 60% to 0-17 and 40% to 18-29; age 80+ is sex total minus ages 0-79</x:v>
      </x:c>
    </x:row>
    <x:row r="223" ht="24" hidden="0" customHeight="1">
      <x:c r="A223" s="7" t="str">
        <x:v>Serbia</x:v>
      </x:c>
      <x:c r="B223" s="7" t="str">
        <x:v>SRB</x:v>
      </x:c>
      <x:c r="C223" s="7" t="n">
        <x:v>2024</x:v>
      </x:c>
      <x:c r="D223" s="7" t="str">
        <x:v>60+</x:v>
      </x:c>
      <x:c r="E223" s="7" t="str">
        <x:v>Female</x:v>
      </x:c>
      <x:c r="F223" s="7" t="n">
        <x:v>1116001</x:v>
      </x:c>
      <x:c r="G223" s="7" t="n">
        <x:v>0.16943825499402107</x:v>
      </x:c>
      <x:c r="H223" s="7" t="str">
        <x:v>World Bank API / UN World Population Prospects</x:v>
      </x:c>
      <x:c r="I223" s="7" t="str">
        <x:v>https://api.worldbank.org/v2/</x:v>
      </x:c>
      <x:c r="J223" s="7" t="str">
        <x:v>Ages 15-19 split 60% to 0-17 and 40% to 18-29; age 80+ is sex total minus ages 0-79</x:v>
      </x:c>
    </x:row>
    <x:row r="224" ht="24" hidden="0" customHeight="1">
      <x:c r="A224" s="7" t="str">
        <x:v>Serbia</x:v>
      </x:c>
      <x:c r="B224" s="7" t="str">
        <x:v>SRB</x:v>
      </x:c>
      <x:c r="C224" s="7" t="n">
        <x:v>2024</x:v>
      </x:c>
      <x:c r="D224" s="7" t="str">
        <x:v>0-17</x:v>
      </x:c>
      <x:c r="E224" s="7" t="str">
        <x:v>Male</x:v>
      </x:c>
      <x:c r="F224" s="7" t="n">
        <x:v>574917.2</x:v>
      </x:c>
      <x:c r="G224" s="7" t="n">
        <x:v>0.08728752674419522</x:v>
      </x:c>
      <x:c r="H224" s="7" t="str">
        <x:v>World Bank API / UN World Population Prospects</x:v>
      </x:c>
      <x:c r="I224" s="7" t="str">
        <x:v>https://api.worldbank.org/v2/</x:v>
      </x:c>
      <x:c r="J224" s="7" t="str">
        <x:v>Ages 15-19 split 60% to 0-17 and 40% to 18-29; age 80+ is sex total minus ages 0-79</x:v>
      </x:c>
    </x:row>
    <x:row r="225" ht="24" hidden="0" customHeight="1">
      <x:c r="A225" s="7" t="str">
        <x:v>Serbia</x:v>
      </x:c>
      <x:c r="B225" s="7" t="str">
        <x:v>SRB</x:v>
      </x:c>
      <x:c r="C225" s="7" t="n">
        <x:v>2024</x:v>
      </x:c>
      <x:c r="D225" s="7" t="str">
        <x:v>18-29</x:v>
      </x:c>
      <x:c r="E225" s="7" t="str">
        <x:v>Male</x:v>
      </x:c>
      <x:c r="F225" s="7" t="n">
        <x:v>420672.8</x:v>
      </x:c>
      <x:c r="G225" s="7" t="n">
        <x:v>0.06386917677981367</x:v>
      </x:c>
      <x:c r="H225" s="7" t="str">
        <x:v>World Bank API / UN World Population Prospects</x:v>
      </x:c>
      <x:c r="I225" s="7" t="str">
        <x:v>https://api.worldbank.org/v2/</x:v>
      </x:c>
      <x:c r="J225" s="7" t="str">
        <x:v>Ages 15-19 split 60% to 0-17 and 40% to 18-29; age 80+ is sex total minus ages 0-79</x:v>
      </x:c>
    </x:row>
    <x:row r="226" ht="24" hidden="0" customHeight="1">
      <x:c r="A226" s="7" t="str">
        <x:v>Serbia</x:v>
      </x:c>
      <x:c r="B226" s="7" t="str">
        <x:v>SRB</x:v>
      </x:c>
      <x:c r="C226" s="7" t="n">
        <x:v>2024</x:v>
      </x:c>
      <x:c r="D226" s="7" t="str">
        <x:v>30-39</x:v>
      </x:c>
      <x:c r="E226" s="7" t="str">
        <x:v>Male</x:v>
      </x:c>
      <x:c r="F226" s="7" t="n">
        <x:v>412816</x:v>
      </x:c>
      <x:c r="G226" s="7" t="n">
        <x:v>0.06267630824131144</x:v>
      </x:c>
      <x:c r="H226" s="7" t="str">
        <x:v>World Bank API / UN World Population Prospects</x:v>
      </x:c>
      <x:c r="I226" s="7" t="str">
        <x:v>https://api.worldbank.org/v2/</x:v>
      </x:c>
      <x:c r="J226" s="7" t="str">
        <x:v>Ages 15-19 split 60% to 0-17 and 40% to 18-29; age 80+ is sex total minus ages 0-79</x:v>
      </x:c>
    </x:row>
    <x:row r="227" ht="24" hidden="0" customHeight="1">
      <x:c r="A227" s="7" t="str">
        <x:v>Serbia</x:v>
      </x:c>
      <x:c r="B227" s="7" t="str">
        <x:v>SRB</x:v>
      </x:c>
      <x:c r="C227" s="7" t="n">
        <x:v>2024</x:v>
      </x:c>
      <x:c r="D227" s="7" t="str">
        <x:v>40-49</x:v>
      </x:c>
      <x:c r="E227" s="7" t="str">
        <x:v>Male</x:v>
      </x:c>
      <x:c r="F227" s="7" t="n">
        <x:v>464251</x:v>
      </x:c>
      <x:c r="G227" s="7" t="n">
        <x:v>0.07048549178650314</x:v>
      </x:c>
      <x:c r="H227" s="7" t="str">
        <x:v>World Bank API / UN World Population Prospects</x:v>
      </x:c>
      <x:c r="I227" s="7" t="str">
        <x:v>https://api.worldbank.org/v2/</x:v>
      </x:c>
      <x:c r="J227" s="7" t="str">
        <x:v>Ages 15-19 split 60% to 0-17 and 40% to 18-29; age 80+ is sex total minus ages 0-79</x:v>
      </x:c>
    </x:row>
    <x:row r="228" ht="24" hidden="0" customHeight="1">
      <x:c r="A228" s="7" t="str">
        <x:v>Serbia</x:v>
      </x:c>
      <x:c r="B228" s="7" t="str">
        <x:v>SRB</x:v>
      </x:c>
      <x:c r="C228" s="7" t="n">
        <x:v>2024</x:v>
      </x:c>
      <x:c r="D228" s="7" t="str">
        <x:v>50-59</x:v>
      </x:c>
      <x:c r="E228" s="7" t="str">
        <x:v>Male</x:v>
      </x:c>
      <x:c r="F228" s="7" t="n">
        <x:v>425386</x:v>
      </x:c>
      <x:c r="G228" s="7" t="n">
        <x:v>0.06458476429580856</x:v>
      </x:c>
      <x:c r="H228" s="7" t="str">
        <x:v>World Bank API / UN World Population Prospects</x:v>
      </x:c>
      <x:c r="I228" s="7" t="str">
        <x:v>https://api.worldbank.org/v2/</x:v>
      </x:c>
      <x:c r="J228" s="7" t="str">
        <x:v>Ages 15-19 split 60% to 0-17 and 40% to 18-29; age 80+ is sex total minus ages 0-79</x:v>
      </x:c>
    </x:row>
    <x:row r="229" ht="24" hidden="0" customHeight="1">
      <x:c r="A229" s="7" t="str">
        <x:v>Serbia</x:v>
      </x:c>
      <x:c r="B229" s="7" t="str">
        <x:v>SRB</x:v>
      </x:c>
      <x:c r="C229" s="7" t="n">
        <x:v>2024</x:v>
      </x:c>
      <x:c r="D229" s="7" t="str">
        <x:v>60+</x:v>
      </x:c>
      <x:c r="E229" s="7" t="str">
        <x:v>Male</x:v>
      </x:c>
      <x:c r="F229" s="7" t="n">
        <x:v>826735</x:v>
      </x:c>
      <x:c r="G229" s="7" t="n">
        <x:v>0.1255200808444455</x:v>
      </x:c>
      <x:c r="H229" s="7" t="str">
        <x:v>World Bank API / UN World Population Prospects</x:v>
      </x:c>
      <x:c r="I229" s="7" t="str">
        <x:v>https://api.worldbank.org/v2/</x:v>
      </x:c>
      <x:c r="J229" s="7" t="str">
        <x:v>Ages 15-19 split 60% to 0-17 and 40% to 18-29; age 80+ is sex total minus ages 0-79</x:v>
      </x:c>
    </x:row>
    <x:row r="230" ht="24" hidden="0" customHeight="1">
      <x:c r="A230" s="7" t="str">
        <x:v>South Africa</x:v>
      </x:c>
      <x:c r="B230" s="7" t="str">
        <x:v>ZAF</x:v>
      </x:c>
      <x:c r="C230" s="7" t="n">
        <x:v>2024</x:v>
      </x:c>
      <x:c r="D230" s="7" t="str">
        <x:v>0-17</x:v>
      </x:c>
      <x:c r="E230" s="7" t="str">
        <x:v>Female</x:v>
      </x:c>
      <x:c r="F230" s="7" t="n">
        <x:v>9841572.2</x:v>
      </x:c>
      <x:c r="G230" s="7" t="n">
        <x:v>0.15375729916079578</x:v>
      </x:c>
      <x:c r="H230" s="7" t="str">
        <x:v>World Bank API / UN World Population Prospects</x:v>
      </x:c>
      <x:c r="I230" s="7" t="str">
        <x:v>https://api.worldbank.org/v2/</x:v>
      </x:c>
      <x:c r="J230" s="7" t="str">
        <x:v>Ages 15-19 split 60% to 0-17 and 40% to 18-29; age 80+ is sex total minus ages 0-79</x:v>
      </x:c>
    </x:row>
    <x:row r="231" ht="24" hidden="0" customHeight="1">
      <x:c r="A231" s="7" t="str">
        <x:v>South Africa</x:v>
      </x:c>
      <x:c r="B231" s="7" t="str">
        <x:v>ZAF</x:v>
      </x:c>
      <x:c r="C231" s="7" t="n">
        <x:v>2024</x:v>
      </x:c>
      <x:c r="D231" s="7" t="str">
        <x:v>18-29</x:v>
      </x:c>
      <x:c r="E231" s="7" t="str">
        <x:v>Female</x:v>
      </x:c>
      <x:c r="F231" s="7" t="n">
        <x:v>6381691.8</x:v>
      </x:c>
      <x:c r="G231" s="7" t="n">
        <x:v>0.09970273806908589</x:v>
      </x:c>
      <x:c r="H231" s="7" t="str">
        <x:v>World Bank API / UN World Population Prospects</x:v>
      </x:c>
      <x:c r="I231" s="7" t="str">
        <x:v>https://api.worldbank.org/v2/</x:v>
      </x:c>
      <x:c r="J231" s="7" t="str">
        <x:v>Ages 15-19 split 60% to 0-17 and 40% to 18-29; age 80+ is sex total minus ages 0-79</x:v>
      </x:c>
    </x:row>
    <x:row r="232" ht="24" hidden="0" customHeight="1">
      <x:c r="A232" s="7" t="str">
        <x:v>South Africa</x:v>
      </x:c>
      <x:c r="B232" s="7" t="str">
        <x:v>ZAF</x:v>
      </x:c>
      <x:c r="C232" s="7" t="n">
        <x:v>2024</x:v>
      </x:c>
      <x:c r="D232" s="7" t="str">
        <x:v>30-39</x:v>
      </x:c>
      <x:c r="E232" s="7" t="str">
        <x:v>Female</x:v>
      </x:c>
      <x:c r="F232" s="7" t="n">
        <x:v>5616566</x:v>
      </x:c>
      <x:c r="G232" s="7" t="n">
        <x:v>0.08774898981265963</x:v>
      </x:c>
      <x:c r="H232" s="7" t="str">
        <x:v>World Bank API / UN World Population Prospects</x:v>
      </x:c>
      <x:c r="I232" s="7" t="str">
        <x:v>https://api.worldbank.org/v2/</x:v>
      </x:c>
      <x:c r="J232" s="7" t="str">
        <x:v>Ages 15-19 split 60% to 0-17 and 40% to 18-29; age 80+ is sex total minus ages 0-79</x:v>
      </x:c>
    </x:row>
    <x:row r="233" ht="24" hidden="0" customHeight="1">
      <x:c r="A233" s="7" t="str">
        <x:v>South Africa</x:v>
      </x:c>
      <x:c r="B233" s="7" t="str">
        <x:v>ZAF</x:v>
      </x:c>
      <x:c r="C233" s="7" t="n">
        <x:v>2024</x:v>
      </x:c>
      <x:c r="D233" s="7" t="str">
        <x:v>40-49</x:v>
      </x:c>
      <x:c r="E233" s="7" t="str">
        <x:v>Female</x:v>
      </x:c>
      <x:c r="F233" s="7" t="n">
        <x:v>4174974</x:v>
      </x:c>
      <x:c r="G233" s="7" t="n">
        <x:v>0.06522664400171187</x:v>
      </x:c>
      <x:c r="H233" s="7" t="str">
        <x:v>World Bank API / UN World Population Prospects</x:v>
      </x:c>
      <x:c r="I233" s="7" t="str">
        <x:v>https://api.worldbank.org/v2/</x:v>
      </x:c>
      <x:c r="J233" s="7" t="str">
        <x:v>Ages 15-19 split 60% to 0-17 and 40% to 18-29; age 80+ is sex total minus ages 0-79</x:v>
      </x:c>
    </x:row>
    <x:row r="234" ht="24" hidden="0" customHeight="1">
      <x:c r="A234" s="7" t="str">
        <x:v>South Africa</x:v>
      </x:c>
      <x:c r="B234" s="7" t="str">
        <x:v>ZAF</x:v>
      </x:c>
      <x:c r="C234" s="7" t="n">
        <x:v>2024</x:v>
      </x:c>
      <x:c r="D234" s="7" t="str">
        <x:v>50-59</x:v>
      </x:c>
      <x:c r="E234" s="7" t="str">
        <x:v>Female</x:v>
      </x:c>
      <x:c r="F234" s="7" t="n">
        <x:v>2955291</x:v>
      </x:c>
      <x:c r="G234" s="7" t="n">
        <x:v>0.04617123698937121</x:v>
      </x:c>
      <x:c r="H234" s="7" t="str">
        <x:v>World Bank API / UN World Population Prospects</x:v>
      </x:c>
      <x:c r="I234" s="7" t="str">
        <x:v>https://api.worldbank.org/v2/</x:v>
      </x:c>
      <x:c r="J234" s="7" t="str">
        <x:v>Ages 15-19 split 60% to 0-17 and 40% to 18-29; age 80+ is sex total minus ages 0-79</x:v>
      </x:c>
    </x:row>
    <x:row r="235" ht="24" hidden="0" customHeight="1">
      <x:c r="A235" s="7" t="str">
        <x:v>South Africa</x:v>
      </x:c>
      <x:c r="B235" s="7" t="str">
        <x:v>ZAF</x:v>
      </x:c>
      <x:c r="C235" s="7" t="n">
        <x:v>2024</x:v>
      </x:c>
      <x:c r="D235" s="7" t="str">
        <x:v>60+</x:v>
      </x:c>
      <x:c r="E235" s="7" t="str">
        <x:v>Female</x:v>
      </x:c>
      <x:c r="F235" s="7" t="n">
        <x:v>3884140</x:v>
      </x:c>
      <x:c r="G235" s="7" t="n">
        <x:v>0.06068287300299574</x:v>
      </x:c>
      <x:c r="H235" s="7" t="str">
        <x:v>World Bank API / UN World Population Prospects</x:v>
      </x:c>
      <x:c r="I235" s="7" t="str">
        <x:v>https://api.worldbank.org/v2/</x:v>
      </x:c>
      <x:c r="J235" s="7" t="str">
        <x:v>Ages 15-19 split 60% to 0-17 and 40% to 18-29; age 80+ is sex total minus ages 0-79</x:v>
      </x:c>
    </x:row>
    <x:row r="236" ht="24" hidden="0" customHeight="1">
      <x:c r="A236" s="7" t="str">
        <x:v>South Africa</x:v>
      </x:c>
      <x:c r="B236" s="7" t="str">
        <x:v>ZAF</x:v>
      </x:c>
      <x:c r="C236" s="7" t="n">
        <x:v>2024</x:v>
      </x:c>
      <x:c r="D236" s="7" t="str">
        <x:v>0-17</x:v>
      </x:c>
      <x:c r="E236" s="7" t="str">
        <x:v>Male</x:v>
      </x:c>
      <x:c r="F236" s="7" t="n">
        <x:v>9939599.4</x:v>
      </x:c>
      <x:c r="G236" s="7" t="n">
        <x:v>0.15528880217779295</x:v>
      </x:c>
      <x:c r="H236" s="7" t="str">
        <x:v>World Bank API / UN World Population Prospects</x:v>
      </x:c>
      <x:c r="I236" s="7" t="str">
        <x:v>https://api.worldbank.org/v2/</x:v>
      </x:c>
      <x:c r="J236" s="7" t="str">
        <x:v>Ages 15-19 split 60% to 0-17 and 40% to 18-29; age 80+ is sex total minus ages 0-79</x:v>
      </x:c>
    </x:row>
    <x:row r="237" ht="24" hidden="0" customHeight="1">
      <x:c r="A237" s="7" t="str">
        <x:v>South Africa</x:v>
      </x:c>
      <x:c r="B237" s="7" t="str">
        <x:v>ZAF</x:v>
      </x:c>
      <x:c r="C237" s="7" t="n">
        <x:v>2024</x:v>
      </x:c>
      <x:c r="D237" s="7" t="str">
        <x:v>18-29</x:v>
      </x:c>
      <x:c r="E237" s="7" t="str">
        <x:v>Male</x:v>
      </x:c>
      <x:c r="F237" s="7" t="n">
        <x:v>6445515.6</x:v>
      </x:c>
      <x:c r="G237" s="7" t="n">
        <x:v>0.10069987296895268</x:v>
      </x:c>
      <x:c r="H237" s="7" t="str">
        <x:v>World Bank API / UN World Population Prospects</x:v>
      </x:c>
      <x:c r="I237" s="7" t="str">
        <x:v>https://api.worldbank.org/v2/</x:v>
      </x:c>
      <x:c r="J237" s="7" t="str">
        <x:v>Ages 15-19 split 60% to 0-17 and 40% to 18-29; age 80+ is sex total minus ages 0-79</x:v>
      </x:c>
    </x:row>
    <x:row r="238" ht="24" hidden="0" customHeight="1">
      <x:c r="A238" s="7" t="str">
        <x:v>South Africa</x:v>
      </x:c>
      <x:c r="B238" s="7" t="str">
        <x:v>ZAF</x:v>
      </x:c>
      <x:c r="C238" s="7" t="n">
        <x:v>2024</x:v>
      </x:c>
      <x:c r="D238" s="7" t="str">
        <x:v>30-39</x:v>
      </x:c>
      <x:c r="E238" s="7" t="str">
        <x:v>Male</x:v>
      </x:c>
      <x:c r="F238" s="7" t="n">
        <x:v>5517549</x:v>
      </x:c>
      <x:c r="G238" s="7" t="n">
        <x:v>0.08620202290720884</x:v>
      </x:c>
      <x:c r="H238" s="7" t="str">
        <x:v>World Bank API / UN World Population Prospects</x:v>
      </x:c>
      <x:c r="I238" s="7" t="str">
        <x:v>https://api.worldbank.org/v2/</x:v>
      </x:c>
      <x:c r="J238" s="7" t="str">
        <x:v>Ages 15-19 split 60% to 0-17 and 40% to 18-29; age 80+ is sex total minus ages 0-79</x:v>
      </x:c>
    </x:row>
    <x:row r="239" ht="24" hidden="0" customHeight="1">
      <x:c r="A239" s="7" t="str">
        <x:v>South Africa</x:v>
      </x:c>
      <x:c r="B239" s="7" t="str">
        <x:v>ZAF</x:v>
      </x:c>
      <x:c r="C239" s="7" t="n">
        <x:v>2024</x:v>
      </x:c>
      <x:c r="D239" s="7" t="str">
        <x:v>40-49</x:v>
      </x:c>
      <x:c r="E239" s="7" t="str">
        <x:v>Male</x:v>
      </x:c>
      <x:c r="F239" s="7" t="n">
        <x:v>4103956</x:v>
      </x:c>
      <x:c r="G239" s="7" t="n">
        <x:v>0.06411711234864922</x:v>
      </x:c>
      <x:c r="H239" s="7" t="str">
        <x:v>World Bank API / UN World Population Prospects</x:v>
      </x:c>
      <x:c r="I239" s="7" t="str">
        <x:v>https://api.worldbank.org/v2/</x:v>
      </x:c>
      <x:c r="J239" s="7" t="str">
        <x:v>Ages 15-19 split 60% to 0-17 and 40% to 18-29; age 80+ is sex total minus ages 0-79</x:v>
      </x:c>
    </x:row>
    <x:row r="240" ht="24" hidden="0" customHeight="1">
      <x:c r="A240" s="7" t="str">
        <x:v>South Africa</x:v>
      </x:c>
      <x:c r="B240" s="7" t="str">
        <x:v>ZAF</x:v>
      </x:c>
      <x:c r="C240" s="7" t="n">
        <x:v>2024</x:v>
      </x:c>
      <x:c r="D240" s="7" t="str">
        <x:v>50-59</x:v>
      </x:c>
      <x:c r="E240" s="7" t="str">
        <x:v>Male</x:v>
      </x:c>
      <x:c r="F240" s="7" t="n">
        <x:v>2525573</x:v>
      </x:c>
      <x:c r="G240" s="7" t="n">
        <x:v>0.03945764715452969</x:v>
      </x:c>
      <x:c r="H240" s="7" t="str">
        <x:v>World Bank API / UN World Population Prospects</x:v>
      </x:c>
      <x:c r="I240" s="7" t="str">
        <x:v>https://api.worldbank.org/v2/</x:v>
      </x:c>
      <x:c r="J240" s="7" t="str">
        <x:v>Ages 15-19 split 60% to 0-17 and 40% to 18-29; age 80+ is sex total minus ages 0-79</x:v>
      </x:c>
    </x:row>
    <x:row r="241" ht="24" hidden="0" customHeight="1">
      <x:c r="A241" s="7" t="str">
        <x:v>South Africa</x:v>
      </x:c>
      <x:c r="B241" s="7" t="str">
        <x:v>ZAF</x:v>
      </x:c>
      <x:c r="C241" s="7" t="n">
        <x:v>2024</x:v>
      </x:c>
      <x:c r="D241" s="7" t="str">
        <x:v>60+</x:v>
      </x:c>
      <x:c r="E241" s="7" t="str">
        <x:v>Male</x:v>
      </x:c>
      <x:c r="F241" s="7" t="n">
        <x:v>2620759</x:v>
      </x:c>
      <x:c r="G241" s="7" t="n">
        <x:v>0.040944761406246456</x:v>
      </x:c>
      <x:c r="H241" s="7" t="str">
        <x:v>World Bank API / UN World Population Prospects</x:v>
      </x:c>
      <x:c r="I241" s="7" t="str">
        <x:v>https://api.worldbank.org/v2/</x:v>
      </x:c>
      <x:c r="J241" s="7" t="str">
        <x:v>Ages 15-19 split 60% to 0-17 and 40% to 18-29; age 80+ is sex total minus ages 0-79</x:v>
      </x:c>
    </x:row>
    <x:row r="242" ht="24" hidden="0" customHeight="1">
      <x:c r="A242" s="7" t="str">
        <x:v>Sri Lanka</x:v>
      </x:c>
      <x:c r="B242" s="7" t="str">
        <x:v>LKA</x:v>
      </x:c>
      <x:c r="C242" s="7" t="n">
        <x:v>2024</x:v>
      </x:c>
      <x:c r="D242" s="7" t="str">
        <x:v>0-17</x:v>
      </x:c>
      <x:c r="E242" s="7" t="str">
        <x:v>Female</x:v>
      </x:c>
      <x:c r="F242" s="7" t="n">
        <x:v>2876908</x:v>
      </x:c>
      <x:c r="G242" s="7" t="n">
        <x:v>0.13126975725497353</x:v>
      </x:c>
      <x:c r="H242" s="7" t="str">
        <x:v>World Bank API / UN World Population Prospects</x:v>
      </x:c>
      <x:c r="I242" s="7" t="str">
        <x:v>https://api.worldbank.org/v2/</x:v>
      </x:c>
      <x:c r="J242" s="7" t="str">
        <x:v>Ages 15-19 split 60% to 0-17 and 40% to 18-29; age 80+ is sex total minus ages 0-79</x:v>
      </x:c>
    </x:row>
    <x:row r="243" ht="24" hidden="0" customHeight="1">
      <x:c r="A243" s="7" t="str">
        <x:v>Sri Lanka</x:v>
      </x:c>
      <x:c r="B243" s="7" t="str">
        <x:v>LKA</x:v>
      </x:c>
      <x:c r="C243" s="7" t="n">
        <x:v>2024</x:v>
      </x:c>
      <x:c r="D243" s="7" t="str">
        <x:v>18-29</x:v>
      </x:c>
      <x:c r="E243" s="7" t="str">
        <x:v>Female</x:v>
      </x:c>
      <x:c r="F243" s="7" t="n">
        <x:v>1909356</x:v>
      </x:c>
      <x:c r="G243" s="7" t="n">
        <x:v>0.08712155502828983</x:v>
      </x:c>
      <x:c r="H243" s="7" t="str">
        <x:v>World Bank API / UN World Population Prospects</x:v>
      </x:c>
      <x:c r="I243" s="7" t="str">
        <x:v>https://api.worldbank.org/v2/</x:v>
      </x:c>
      <x:c r="J243" s="7" t="str">
        <x:v>Ages 15-19 split 60% to 0-17 and 40% to 18-29; age 80+ is sex total minus ages 0-79</x:v>
      </x:c>
    </x:row>
    <x:row r="244" ht="24" hidden="0" customHeight="1">
      <x:c r="A244" s="7" t="str">
        <x:v>Sri Lanka</x:v>
      </x:c>
      <x:c r="B244" s="7" t="str">
        <x:v>LKA</x:v>
      </x:c>
      <x:c r="C244" s="7" t="n">
        <x:v>2024</x:v>
      </x:c>
      <x:c r="D244" s="7" t="str">
        <x:v>30-39</x:v>
      </x:c>
      <x:c r="E244" s="7" t="str">
        <x:v>Female</x:v>
      </x:c>
      <x:c r="F244" s="7" t="n">
        <x:v>1531291</x:v>
      </x:c>
      <x:c r="G244" s="7" t="n">
        <x:v>0.06987091622558861</x:v>
      </x:c>
      <x:c r="H244" s="7" t="str">
        <x:v>World Bank API / UN World Population Prospects</x:v>
      </x:c>
      <x:c r="I244" s="7" t="str">
        <x:v>https://api.worldbank.org/v2/</x:v>
      </x:c>
      <x:c r="J244" s="7" t="str">
        <x:v>Ages 15-19 split 60% to 0-17 and 40% to 18-29; age 80+ is sex total minus ages 0-79</x:v>
      </x:c>
    </x:row>
    <x:row r="245" ht="24" hidden="0" customHeight="1">
      <x:c r="A245" s="7" t="str">
        <x:v>Sri Lanka</x:v>
      </x:c>
      <x:c r="B245" s="7" t="str">
        <x:v>LKA</x:v>
      </x:c>
      <x:c r="C245" s="7" t="n">
        <x:v>2024</x:v>
      </x:c>
      <x:c r="D245" s="7" t="str">
        <x:v>40-49</x:v>
      </x:c>
      <x:c r="E245" s="7" t="str">
        <x:v>Female</x:v>
      </x:c>
      <x:c r="F245" s="7" t="n">
        <x:v>1545388</x:v>
      </x:c>
      <x:c r="G245" s="7" t="n">
        <x:v>0.07051414491695565</x:v>
      </x:c>
      <x:c r="H245" s="7" t="str">
        <x:v>World Bank API / UN World Population Prospects</x:v>
      </x:c>
      <x:c r="I245" s="7" t="str">
        <x:v>https://api.worldbank.org/v2/</x:v>
      </x:c>
      <x:c r="J245" s="7" t="str">
        <x:v>Ages 15-19 split 60% to 0-17 and 40% to 18-29; age 80+ is sex total minus ages 0-79</x:v>
      </x:c>
    </x:row>
    <x:row r="246" ht="24" hidden="0" customHeight="1">
      <x:c r="A246" s="7" t="str">
        <x:v>Sri Lanka</x:v>
      </x:c>
      <x:c r="B246" s="7" t="str">
        <x:v>LKA</x:v>
      </x:c>
      <x:c r="C246" s="7" t="n">
        <x:v>2024</x:v>
      </x:c>
      <x:c r="D246" s="7" t="str">
        <x:v>50-59</x:v>
      </x:c>
      <x:c r="E246" s="7" t="str">
        <x:v>Female</x:v>
      </x:c>
      <x:c r="F246" s="7" t="n">
        <x:v>1297053</x:v>
      </x:c>
      <x:c r="G246" s="7" t="n">
        <x:v>0.0591829257163716</x:v>
      </x:c>
      <x:c r="H246" s="7" t="str">
        <x:v>World Bank API / UN World Population Prospects</x:v>
      </x:c>
      <x:c r="I246" s="7" t="str">
        <x:v>https://api.worldbank.org/v2/</x:v>
      </x:c>
      <x:c r="J246" s="7" t="str">
        <x:v>Ages 15-19 split 60% to 0-17 and 40% to 18-29; age 80+ is sex total minus ages 0-79</x:v>
      </x:c>
    </x:row>
    <x:row r="247" ht="24" hidden="0" customHeight="1">
      <x:c r="A247" s="7" t="str">
        <x:v>Sri Lanka</x:v>
      </x:c>
      <x:c r="B247" s="7" t="str">
        <x:v>LKA</x:v>
      </x:c>
      <x:c r="C247" s="7" t="n">
        <x:v>2024</x:v>
      </x:c>
      <x:c r="D247" s="7" t="str">
        <x:v>60+</x:v>
      </x:c>
      <x:c r="E247" s="7" t="str">
        <x:v>Female</x:v>
      </x:c>
      <x:c r="F247" s="7" t="n">
        <x:v>2152996</x:v>
      </x:c>
      <x:c r="G247" s="7" t="n">
        <x:v>0.09823854718014235</x:v>
      </x:c>
      <x:c r="H247" s="7" t="str">
        <x:v>World Bank API / UN World Population Prospects</x:v>
      </x:c>
      <x:c r="I247" s="7" t="str">
        <x:v>https://api.worldbank.org/v2/</x:v>
      </x:c>
      <x:c r="J247" s="7" t="str">
        <x:v>Ages 15-19 split 60% to 0-17 and 40% to 18-29; age 80+ is sex total minus ages 0-79</x:v>
      </x:c>
    </x:row>
    <x:row r="248" ht="24" hidden="0" customHeight="1">
      <x:c r="A248" s="7" t="str">
        <x:v>Sri Lanka</x:v>
      </x:c>
      <x:c r="B248" s="7" t="str">
        <x:v>LKA</x:v>
      </x:c>
      <x:c r="C248" s="7" t="n">
        <x:v>2024</x:v>
      </x:c>
      <x:c r="D248" s="7" t="str">
        <x:v>0-17</x:v>
      </x:c>
      <x:c r="E248" s="7" t="str">
        <x:v>Male</x:v>
      </x:c>
      <x:c r="F248" s="7" t="n">
        <x:v>2980673.8</x:v>
      </x:c>
      <x:c r="G248" s="7" t="n">
        <x:v>0.13600446249315568</x:v>
      </x:c>
      <x:c r="H248" s="7" t="str">
        <x:v>World Bank API / UN World Population Prospects</x:v>
      </x:c>
      <x:c r="I248" s="7" t="str">
        <x:v>https://api.worldbank.org/v2/</x:v>
      </x:c>
      <x:c r="J248" s="7" t="str">
        <x:v>Ages 15-19 split 60% to 0-17 and 40% to 18-29; age 80+ is sex total minus ages 0-79</x:v>
      </x:c>
    </x:row>
    <x:row r="249" ht="24" hidden="0" customHeight="1">
      <x:c r="A249" s="7" t="str">
        <x:v>Sri Lanka</x:v>
      </x:c>
      <x:c r="B249" s="7" t="str">
        <x:v>LKA</x:v>
      </x:c>
      <x:c r="C249" s="7" t="n">
        <x:v>2024</x:v>
      </x:c>
      <x:c r="D249" s="7" t="str">
        <x:v>18-29</x:v>
      </x:c>
      <x:c r="E249" s="7" t="str">
        <x:v>Male</x:v>
      </x:c>
      <x:c r="F249" s="7" t="n">
        <x:v>1949963.2</x:v>
      </x:c>
      <x:c r="G249" s="7" t="n">
        <x:v>0.08897441138893959</x:v>
      </x:c>
      <x:c r="H249" s="7" t="str">
        <x:v>World Bank API / UN World Population Prospects</x:v>
      </x:c>
      <x:c r="I249" s="7" t="str">
        <x:v>https://api.worldbank.org/v2/</x:v>
      </x:c>
      <x:c r="J249" s="7" t="str">
        <x:v>Ages 15-19 split 60% to 0-17 and 40% to 18-29; age 80+ is sex total minus ages 0-79</x:v>
      </x:c>
    </x:row>
    <x:row r="250" ht="24" hidden="0" customHeight="1">
      <x:c r="A250" s="7" t="str">
        <x:v>Sri Lanka</x:v>
      </x:c>
      <x:c r="B250" s="7" t="str">
        <x:v>LKA</x:v>
      </x:c>
      <x:c r="C250" s="7" t="n">
        <x:v>2024</x:v>
      </x:c>
      <x:c r="D250" s="7" t="str">
        <x:v>30-39</x:v>
      </x:c>
      <x:c r="E250" s="7" t="str">
        <x:v>Male</x:v>
      </x:c>
      <x:c r="F250" s="7" t="n">
        <x:v>1445573</x:v>
      </x:c>
      <x:c r="G250" s="7" t="n">
        <x:v>0.06595970980105859</x:v>
      </x:c>
      <x:c r="H250" s="7" t="str">
        <x:v>World Bank API / UN World Population Prospects</x:v>
      </x:c>
      <x:c r="I250" s="7" t="str">
        <x:v>https://api.worldbank.org/v2/</x:v>
      </x:c>
      <x:c r="J250" s="7" t="str">
        <x:v>Ages 15-19 split 60% to 0-17 and 40% to 18-29; age 80+ is sex total minus ages 0-79</x:v>
      </x:c>
    </x:row>
    <x:row r="251" ht="24" hidden="0" customHeight="1">
      <x:c r="A251" s="7" t="str">
        <x:v>Sri Lanka</x:v>
      </x:c>
      <x:c r="B251" s="7" t="str">
        <x:v>LKA</x:v>
      </x:c>
      <x:c r="C251" s="7" t="n">
        <x:v>2024</x:v>
      </x:c>
      <x:c r="D251" s="7" t="str">
        <x:v>40-49</x:v>
      </x:c>
      <x:c r="E251" s="7" t="str">
        <x:v>Male</x:v>
      </x:c>
      <x:c r="F251" s="7" t="n">
        <x:v>1439753</x:v>
      </x:c>
      <x:c r="G251" s="7" t="n">
        <x:v>0.06569415039240738</x:v>
      </x:c>
      <x:c r="H251" s="7" t="str">
        <x:v>World Bank API / UN World Population Prospects</x:v>
      </x:c>
      <x:c r="I251" s="7" t="str">
        <x:v>https://api.worldbank.org/v2/</x:v>
      </x:c>
      <x:c r="J251" s="7" t="str">
        <x:v>Ages 15-19 split 60% to 0-17 and 40% to 18-29; age 80+ is sex total minus ages 0-79</x:v>
      </x:c>
    </x:row>
    <x:row r="252" ht="24" hidden="0" customHeight="1">
      <x:c r="A252" s="7" t="str">
        <x:v>Sri Lanka</x:v>
      </x:c>
      <x:c r="B252" s="7" t="str">
        <x:v>LKA</x:v>
      </x:c>
      <x:c r="C252" s="7" t="n">
        <x:v>2024</x:v>
      </x:c>
      <x:c r="D252" s="7" t="str">
        <x:v>50-59</x:v>
      </x:c>
      <x:c r="E252" s="7" t="str">
        <x:v>Male</x:v>
      </x:c>
      <x:c r="F252" s="7" t="n">
        <x:v>1177902</x:v>
      </x:c>
      <x:c r="G252" s="7" t="n">
        <x:v>0.05374621281255704</x:v>
      </x:c>
      <x:c r="H252" s="7" t="str">
        <x:v>World Bank API / UN World Population Prospects</x:v>
      </x:c>
      <x:c r="I252" s="7" t="str">
        <x:v>https://api.worldbank.org/v2/</x:v>
      </x:c>
      <x:c r="J252" s="7" t="str">
        <x:v>Ages 15-19 split 60% to 0-17 and 40% to 18-29; age 80+ is sex total minus ages 0-79</x:v>
      </x:c>
    </x:row>
    <x:row r="253" ht="24" hidden="0" customHeight="1">
      <x:c r="A253" s="7" t="str">
        <x:v>Sri Lanka</x:v>
      </x:c>
      <x:c r="B253" s="7" t="str">
        <x:v>LKA</x:v>
      </x:c>
      <x:c r="C253" s="7" t="n">
        <x:v>2024</x:v>
      </x:c>
      <x:c r="D253" s="7" t="str">
        <x:v>60+</x:v>
      </x:c>
      <x:c r="E253" s="7" t="str">
        <x:v>Male</x:v>
      </x:c>
      <x:c r="F253" s="7" t="n">
        <x:v>1609143</x:v>
      </x:c>
      <x:c r="G253" s="7" t="n">
        <x:v>0.07342320678956014</x:v>
      </x:c>
      <x:c r="H253" s="7" t="str">
        <x:v>World Bank API / UN World Population Prospects</x:v>
      </x:c>
      <x:c r="I253" s="7" t="str">
        <x:v>https://api.worldbank.org/v2/</x:v>
      </x:c>
      <x:c r="J253" s="7" t="str">
        <x:v>Ages 15-19 split 60% to 0-17 and 40% to 18-29; age 80+ is sex total minus ages 0-79</x:v>
      </x:c>
    </x:row>
    <x:row r="254" ht="24" hidden="0" customHeight="1">
      <x:c r="A254" s="7" t="str">
        <x:v>The Netherlands</x:v>
      </x:c>
      <x:c r="B254" s="7" t="str">
        <x:v>NLD</x:v>
      </x:c>
      <x:c r="C254" s="7" t="n">
        <x:v>2024</x:v>
      </x:c>
      <x:c r="D254" s="7" t="str">
        <x:v>0-17</x:v>
      </x:c>
      <x:c r="E254" s="7" t="str">
        <x:v>Female</x:v>
      </x:c>
      <x:c r="F254" s="7" t="n">
        <x:v>1613447.4</x:v>
      </x:c>
      <x:c r="G254" s="7" t="n">
        <x:v>0.08966842165372634</x:v>
      </x:c>
      <x:c r="H254" s="7" t="str">
        <x:v>World Bank API / UN World Population Prospects</x:v>
      </x:c>
      <x:c r="I254" s="7" t="str">
        <x:v>https://api.worldbank.org/v2/</x:v>
      </x:c>
      <x:c r="J254" s="7" t="str">
        <x:v>Ages 15-19 split 60% to 0-17 and 40% to 18-29; age 80+ is sex total minus ages 0-79</x:v>
      </x:c>
    </x:row>
    <x:row r="255" ht="24" hidden="0" customHeight="1">
      <x:c r="A255" s="7" t="str">
        <x:v>The Netherlands</x:v>
      </x:c>
      <x:c r="B255" s="7" t="str">
        <x:v>NLD</x:v>
      </x:c>
      <x:c r="C255" s="7" t="n">
        <x:v>2024</x:v>
      </x:c>
      <x:c r="D255" s="7" t="str">
        <x:v>18-29</x:v>
      </x:c>
      <x:c r="E255" s="7" t="str">
        <x:v>Female</x:v>
      </x:c>
      <x:c r="F255" s="7" t="n">
        <x:v>1370066.6</x:v>
      </x:c>
      <x:c r="G255" s="7" t="n">
        <x:v>0.07614237041907113</x:v>
      </x:c>
      <x:c r="H255" s="7" t="str">
        <x:v>World Bank API / UN World Population Prospects</x:v>
      </x:c>
      <x:c r="I255" s="7" t="str">
        <x:v>https://api.worldbank.org/v2/</x:v>
      </x:c>
      <x:c r="J255" s="7" t="str">
        <x:v>Ages 15-19 split 60% to 0-17 and 40% to 18-29; age 80+ is sex total minus ages 0-79</x:v>
      </x:c>
    </x:row>
    <x:row r="256" ht="24" hidden="0" customHeight="1">
      <x:c r="A256" s="7" t="str">
        <x:v>The Netherlands</x:v>
      </x:c>
      <x:c r="B256" s="7" t="str">
        <x:v>NLD</x:v>
      </x:c>
      <x:c r="C256" s="7" t="n">
        <x:v>2024</x:v>
      </x:c>
      <x:c r="D256" s="7" t="str">
        <x:v>30-39</x:v>
      </x:c>
      <x:c r="E256" s="7" t="str">
        <x:v>Female</x:v>
      </x:c>
      <x:c r="F256" s="7" t="n">
        <x:v>1178684</x:v>
      </x:c>
      <x:c r="G256" s="7" t="n">
        <x:v>0.06550615403297361</x:v>
      </x:c>
      <x:c r="H256" s="7" t="str">
        <x:v>World Bank API / UN World Population Prospects</x:v>
      </x:c>
      <x:c r="I256" s="7" t="str">
        <x:v>https://api.worldbank.org/v2/</x:v>
      </x:c>
      <x:c r="J256" s="7" t="str">
        <x:v>Ages 15-19 split 60% to 0-17 and 40% to 18-29; age 80+ is sex total minus ages 0-79</x:v>
      </x:c>
    </x:row>
    <x:row r="257" ht="24" hidden="0" customHeight="1">
      <x:c r="A257" s="7" t="str">
        <x:v>The Netherlands</x:v>
      </x:c>
      <x:c r="B257" s="7" t="str">
        <x:v>NLD</x:v>
      </x:c>
      <x:c r="C257" s="7" t="n">
        <x:v>2024</x:v>
      </x:c>
      <x:c r="D257" s="7" t="str">
        <x:v>40-49</x:v>
      </x:c>
      <x:c r="E257" s="7" t="str">
        <x:v>Female</x:v>
      </x:c>
      <x:c r="F257" s="7" t="n">
        <x:v>1060507</x:v>
      </x:c>
      <x:c r="G257" s="7" t="n">
        <x:v>0.058938387977648575</x:v>
      </x:c>
      <x:c r="H257" s="7" t="str">
        <x:v>World Bank API / UN World Population Prospects</x:v>
      </x:c>
      <x:c r="I257" s="7" t="str">
        <x:v>https://api.worldbank.org/v2/</x:v>
      </x:c>
      <x:c r="J257" s="7" t="str">
        <x:v>Ages 15-19 split 60% to 0-17 and 40% to 18-29; age 80+ is sex total minus ages 0-79</x:v>
      </x:c>
    </x:row>
    <x:row r="258" ht="24" hidden="0" customHeight="1">
      <x:c r="A258" s="7" t="str">
        <x:v>The Netherlands</x:v>
      </x:c>
      <x:c r="B258" s="7" t="str">
        <x:v>NLD</x:v>
      </x:c>
      <x:c r="C258" s="7" t="n">
        <x:v>2024</x:v>
      </x:c>
      <x:c r="D258" s="7" t="str">
        <x:v>50-59</x:v>
      </x:c>
      <x:c r="E258" s="7" t="str">
        <x:v>Female</x:v>
      </x:c>
      <x:c r="F258" s="7" t="n">
        <x:v>1245795</x:v>
      </x:c>
      <x:c r="G258" s="7" t="n">
        <x:v>0.06923589288011744</x:v>
      </x:c>
      <x:c r="H258" s="7" t="str">
        <x:v>World Bank API / UN World Population Prospects</x:v>
      </x:c>
      <x:c r="I258" s="7" t="str">
        <x:v>https://api.worldbank.org/v2/</x:v>
      </x:c>
      <x:c r="J258" s="7" t="str">
        <x:v>Ages 15-19 split 60% to 0-17 and 40% to 18-29; age 80+ is sex total minus ages 0-79</x:v>
      </x:c>
    </x:row>
    <x:row r="259" ht="24" hidden="0" customHeight="1">
      <x:c r="A259" s="7" t="str">
        <x:v>The Netherlands</x:v>
      </x:c>
      <x:c r="B259" s="7" t="str">
        <x:v>NLD</x:v>
      </x:c>
      <x:c r="C259" s="7" t="n">
        <x:v>2024</x:v>
      </x:c>
      <x:c r="D259" s="7" t="str">
        <x:v>60+</x:v>
      </x:c>
      <x:c r="E259" s="7" t="str">
        <x:v>Female</x:v>
      </x:c>
      <x:c r="F259" s="7" t="n">
        <x:v>2585881</x:v>
      </x:c>
      <x:c r="G259" s="7" t="n">
        <x:v>0.14371207134137717</x:v>
      </x:c>
      <x:c r="H259" s="7" t="str">
        <x:v>World Bank API / UN World Population Prospects</x:v>
      </x:c>
      <x:c r="I259" s="7" t="str">
        <x:v>https://api.worldbank.org/v2/</x:v>
      </x:c>
      <x:c r="J259" s="7" t="str">
        <x:v>Ages 15-19 split 60% to 0-17 and 40% to 18-29; age 80+ is sex total minus ages 0-79</x:v>
      </x:c>
    </x:row>
    <x:row r="260" ht="24" hidden="0" customHeight="1">
      <x:c r="A260" s="7" t="str">
        <x:v>The Netherlands</x:v>
      </x:c>
      <x:c r="B260" s="7" t="str">
        <x:v>NLD</x:v>
      </x:c>
      <x:c r="C260" s="7" t="n">
        <x:v>2024</x:v>
      </x:c>
      <x:c r="D260" s="7" t="str">
        <x:v>0-17</x:v>
      </x:c>
      <x:c r="E260" s="7" t="str">
        <x:v>Male</x:v>
      </x:c>
      <x:c r="F260" s="7" t="n">
        <x:v>1691134</x:v>
      </x:c>
      <x:c r="G260" s="7" t="n">
        <x:v>0.09398590656562639</x:v>
      </x:c>
      <x:c r="H260" s="7" t="str">
        <x:v>World Bank API / UN World Population Prospects</x:v>
      </x:c>
      <x:c r="I260" s="7" t="str">
        <x:v>https://api.worldbank.org/v2/</x:v>
      </x:c>
      <x:c r="J260" s="7" t="str">
        <x:v>Ages 15-19 split 60% to 0-17 and 40% to 18-29; age 80+ is sex total minus ages 0-79</x:v>
      </x:c>
    </x:row>
    <x:row r="261" ht="24" hidden="0" customHeight="1">
      <x:c r="A261" s="7" t="str">
        <x:v>The Netherlands</x:v>
      </x:c>
      <x:c r="B261" s="7" t="str">
        <x:v>NLD</x:v>
      </x:c>
      <x:c r="C261" s="7" t="n">
        <x:v>2024</x:v>
      </x:c>
      <x:c r="D261" s="7" t="str">
        <x:v>18-29</x:v>
      </x:c>
      <x:c r="E261" s="7" t="str">
        <x:v>Male</x:v>
      </x:c>
      <x:c r="F261" s="7" t="n">
        <x:v>1411103</x:v>
      </x:c>
      <x:c r="G261" s="7" t="n">
        <x:v>0.07842299587878612</x:v>
      </x:c>
      <x:c r="H261" s="7" t="str">
        <x:v>World Bank API / UN World Population Prospects</x:v>
      </x:c>
      <x:c r="I261" s="7" t="str">
        <x:v>https://api.worldbank.org/v2/</x:v>
      </x:c>
      <x:c r="J261" s="7" t="str">
        <x:v>Ages 15-19 split 60% to 0-17 and 40% to 18-29; age 80+ is sex total minus ages 0-79</x:v>
      </x:c>
    </x:row>
    <x:row r="262" ht="24" hidden="0" customHeight="1">
      <x:c r="A262" s="7" t="str">
        <x:v>The Netherlands</x:v>
      </x:c>
      <x:c r="B262" s="7" t="str">
        <x:v>NLD</x:v>
      </x:c>
      <x:c r="C262" s="7" t="n">
        <x:v>2024</x:v>
      </x:c>
      <x:c r="D262" s="7" t="str">
        <x:v>30-39</x:v>
      </x:c>
      <x:c r="E262" s="7" t="str">
        <x:v>Male</x:v>
      </x:c>
      <x:c r="F262" s="7" t="n">
        <x:v>1207502</x:v>
      </x:c>
      <x:c r="G262" s="7" t="n">
        <x:v>0.06710773371584215</x:v>
      </x:c>
      <x:c r="H262" s="7" t="str">
        <x:v>World Bank API / UN World Population Prospects</x:v>
      </x:c>
      <x:c r="I262" s="7" t="str">
        <x:v>https://api.worldbank.org/v2/</x:v>
      </x:c>
      <x:c r="J262" s="7" t="str">
        <x:v>Ages 15-19 split 60% to 0-17 and 40% to 18-29; age 80+ is sex total minus ages 0-79</x:v>
      </x:c>
    </x:row>
    <x:row r="263" ht="24" hidden="0" customHeight="1">
      <x:c r="A263" s="7" t="str">
        <x:v>The Netherlands</x:v>
      </x:c>
      <x:c r="B263" s="7" t="str">
        <x:v>NLD</x:v>
      </x:c>
      <x:c r="C263" s="7" t="n">
        <x:v>2024</x:v>
      </x:c>
      <x:c r="D263" s="7" t="str">
        <x:v>40-49</x:v>
      </x:c>
      <x:c r="E263" s="7" t="str">
        <x:v>Male</x:v>
      </x:c>
      <x:c r="F263" s="7" t="n">
        <x:v>1060476</x:v>
      </x:c>
      <x:c r="G263" s="7" t="n">
        <x:v>0.05893666513185189</x:v>
      </x:c>
      <x:c r="H263" s="7" t="str">
        <x:v>World Bank API / UN World Population Prospects</x:v>
      </x:c>
      <x:c r="I263" s="7" t="str">
        <x:v>https://api.worldbank.org/v2/</x:v>
      </x:c>
      <x:c r="J263" s="7" t="str">
        <x:v>Ages 15-19 split 60% to 0-17 and 40% to 18-29; age 80+ is sex total minus ages 0-79</x:v>
      </x:c>
    </x:row>
    <x:row r="264" ht="24" hidden="0" customHeight="1">
      <x:c r="A264" s="7" t="str">
        <x:v>The Netherlands</x:v>
      </x:c>
      <x:c r="B264" s="7" t="str">
        <x:v>NLD</x:v>
      </x:c>
      <x:c r="C264" s="7" t="n">
        <x:v>2024</x:v>
      </x:c>
      <x:c r="D264" s="7" t="str">
        <x:v>50-59</x:v>
      </x:c>
      <x:c r="E264" s="7" t="str">
        <x:v>Male</x:v>
      </x:c>
      <x:c r="F264" s="7" t="n">
        <x:v>1242263</x:v>
      </x:c>
      <x:c r="G264" s="7" t="n">
        <x:v>0.06903959961063685</x:v>
      </x:c>
      <x:c r="H264" s="7" t="str">
        <x:v>World Bank API / UN World Population Prospects</x:v>
      </x:c>
      <x:c r="I264" s="7" t="str">
        <x:v>https://api.worldbank.org/v2/</x:v>
      </x:c>
      <x:c r="J264" s="7" t="str">
        <x:v>Ages 15-19 split 60% to 0-17 and 40% to 18-29; age 80+ is sex total minus ages 0-79</x:v>
      </x:c>
    </x:row>
    <x:row r="265" ht="24" hidden="0" customHeight="1">
      <x:c r="A265" s="7" t="str">
        <x:v>The Netherlands</x:v>
      </x:c>
      <x:c r="B265" s="7" t="str">
        <x:v>NLD</x:v>
      </x:c>
      <x:c r="C265" s="7" t="n">
        <x:v>2024</x:v>
      </x:c>
      <x:c r="D265" s="7" t="str">
        <x:v>60+</x:v>
      </x:c>
      <x:c r="E265" s="7" t="str">
        <x:v>Male</x:v>
      </x:c>
      <x:c r="F265" s="7" t="n">
        <x:v>2326626</x:v>
      </x:c>
      <x:c r="G265" s="7" t="n">
        <x:v>0.12930380079234233</x:v>
      </x:c>
      <x:c r="H265" s="7" t="str">
        <x:v>World Bank API / UN World Population Prospects</x:v>
      </x:c>
      <x:c r="I265" s="7" t="str">
        <x:v>https://api.worldbank.org/v2/</x:v>
      </x:c>
      <x:c r="J265" s="7" t="str">
        <x:v>Ages 15-19 split 60% to 0-17 and 40% to 18-29; age 80+ is sex total minus ages 0-79</x:v>
      </x:c>
    </x:row>
    <x:row r="266" ht="24" hidden="0" customHeight="1">
      <x:c r="A266" s="7" t="str">
        <x:v>Turkiye</x:v>
      </x:c>
      <x:c r="B266" s="7" t="str">
        <x:v>TUR</x:v>
      </x:c>
      <x:c r="C266" s="7" t="n">
        <x:v>2024</x:v>
      </x:c>
      <x:c r="D266" s="7" t="str">
        <x:v>0-17</x:v>
      </x:c>
      <x:c r="E266" s="7" t="str">
        <x:v>Female</x:v>
      </x:c>
      <x:c r="F266" s="7" t="n">
        <x:v>10801766.4</x:v>
      </x:c>
      <x:c r="G266" s="7" t="n">
        <x:v>0.12630888128615578</x:v>
      </x:c>
      <x:c r="H266" s="7" t="str">
        <x:v>World Bank API / UN World Population Prospects</x:v>
      </x:c>
      <x:c r="I266" s="7" t="str">
        <x:v>https://api.worldbank.org/v2/</x:v>
      </x:c>
      <x:c r="J266" s="7" t="str">
        <x:v>Ages 15-19 split 60% to 0-17 and 40% to 18-29; age 80+ is sex total minus ages 0-79</x:v>
      </x:c>
    </x:row>
    <x:row r="267" ht="24" hidden="0" customHeight="1">
      <x:c r="A267" s="7" t="str">
        <x:v>Turkiye</x:v>
      </x:c>
      <x:c r="B267" s="7" t="str">
        <x:v>TUR</x:v>
      </x:c>
      <x:c r="C267" s="7" t="n">
        <x:v>2024</x:v>
      </x:c>
      <x:c r="D267" s="7" t="str">
        <x:v>18-29</x:v>
      </x:c>
      <x:c r="E267" s="7" t="str">
        <x:v>Female</x:v>
      </x:c>
      <x:c r="F267" s="7" t="n">
        <x:v>7634112.6</x:v>
      </x:c>
      <x:c r="G267" s="7" t="n">
        <x:v>0.08926838318948889</x:v>
      </x:c>
      <x:c r="H267" s="7" t="str">
        <x:v>World Bank API / UN World Population Prospects</x:v>
      </x:c>
      <x:c r="I267" s="7" t="str">
        <x:v>https://api.worldbank.org/v2/</x:v>
      </x:c>
      <x:c r="J267" s="7" t="str">
        <x:v>Ages 15-19 split 60% to 0-17 and 40% to 18-29; age 80+ is sex total minus ages 0-79</x:v>
      </x:c>
    </x:row>
    <x:row r="268" ht="24" hidden="0" customHeight="1">
      <x:c r="A268" s="7" t="str">
        <x:v>Turkiye</x:v>
      </x:c>
      <x:c r="B268" s="7" t="str">
        <x:v>TUR</x:v>
      </x:c>
      <x:c r="C268" s="7" t="n">
        <x:v>2024</x:v>
      </x:c>
      <x:c r="D268" s="7" t="str">
        <x:v>30-39</x:v>
      </x:c>
      <x:c r="E268" s="7" t="str">
        <x:v>Female</x:v>
      </x:c>
      <x:c r="F268" s="7" t="n">
        <x:v>6264689</x:v>
      </x:c>
      <x:c r="G268" s="7" t="n">
        <x:v>0.07325522788529161</x:v>
      </x:c>
      <x:c r="H268" s="7" t="str">
        <x:v>World Bank API / UN World Population Prospects</x:v>
      </x:c>
      <x:c r="I268" s="7" t="str">
        <x:v>https://api.worldbank.org/v2/</x:v>
      </x:c>
      <x:c r="J268" s="7" t="str">
        <x:v>Ages 15-19 split 60% to 0-17 and 40% to 18-29; age 80+ is sex total minus ages 0-79</x:v>
      </x:c>
    </x:row>
    <x:row r="269" ht="24" hidden="0" customHeight="1">
      <x:c r="A269" s="7" t="str">
        <x:v>Turkiye</x:v>
      </x:c>
      <x:c r="B269" s="7" t="str">
        <x:v>TUR</x:v>
      </x:c>
      <x:c r="C269" s="7" t="n">
        <x:v>2024</x:v>
      </x:c>
      <x:c r="D269" s="7" t="str">
        <x:v>40-49</x:v>
      </x:c>
      <x:c r="E269" s="7" t="str">
        <x:v>Female</x:v>
      </x:c>
      <x:c r="F269" s="7" t="n">
        <x:v>6305034</x:v>
      </x:c>
      <x:c r="G269" s="7" t="n">
        <x:v>0.07372699626342372</x:v>
      </x:c>
      <x:c r="H269" s="7" t="str">
        <x:v>World Bank API / UN World Population Prospects</x:v>
      </x:c>
      <x:c r="I269" s="7" t="str">
        <x:v>https://api.worldbank.org/v2/</x:v>
      </x:c>
      <x:c r="J269" s="7" t="str">
        <x:v>Ages 15-19 split 60% to 0-17 and 40% to 18-29; age 80+ is sex total minus ages 0-79</x:v>
      </x:c>
    </x:row>
    <x:row r="270" ht="24" hidden="0" customHeight="1">
      <x:c r="A270" s="7" t="str">
        <x:v>Turkiye</x:v>
      </x:c>
      <x:c r="B270" s="7" t="str">
        <x:v>TUR</x:v>
      </x:c>
      <x:c r="C270" s="7" t="n">
        <x:v>2024</x:v>
      </x:c>
      <x:c r="D270" s="7" t="str">
        <x:v>50-59</x:v>
      </x:c>
      <x:c r="E270" s="7" t="str">
        <x:v>Female</x:v>
      </x:c>
      <x:c r="F270" s="7" t="n">
        <x:v>4837977</x:v>
      </x:c>
      <x:c r="G270" s="7" t="n">
        <x:v>0.056572179024178125</x:v>
      </x:c>
      <x:c r="H270" s="7" t="str">
        <x:v>World Bank API / UN World Population Prospects</x:v>
      </x:c>
      <x:c r="I270" s="7" t="str">
        <x:v>https://api.worldbank.org/v2/</x:v>
      </x:c>
      <x:c r="J270" s="7" t="str">
        <x:v>Ages 15-19 split 60% to 0-17 and 40% to 18-29; age 80+ is sex total minus ages 0-79</x:v>
      </x:c>
    </x:row>
    <x:row r="271" ht="24" hidden="0" customHeight="1">
      <x:c r="A271" s="7" t="str">
        <x:v>Turkiye</x:v>
      </x:c>
      <x:c r="B271" s="7" t="str">
        <x:v>TUR</x:v>
      </x:c>
      <x:c r="C271" s="7" t="n">
        <x:v>2024</x:v>
      </x:c>
      <x:c r="D271" s="7" t="str">
        <x:v>60+</x:v>
      </x:c>
      <x:c r="E271" s="7" t="str">
        <x:v>Female</x:v>
      </x:c>
      <x:c r="F271" s="7" t="n">
        <x:v>6989453</x:v>
      </x:c>
      <x:c r="G271" s="7" t="n">
        <x:v>0.08173015010139133</x:v>
      </x:c>
      <x:c r="H271" s="7" t="str">
        <x:v>World Bank API / UN World Population Prospects</x:v>
      </x:c>
      <x:c r="I271" s="7" t="str">
        <x:v>https://api.worldbank.org/v2/</x:v>
      </x:c>
      <x:c r="J271" s="7" t="str">
        <x:v>Ages 15-19 split 60% to 0-17 and 40% to 18-29; age 80+ is sex total minus ages 0-79</x:v>
      </x:c>
    </x:row>
    <x:row r="272" ht="24" hidden="0" customHeight="1">
      <x:c r="A272" s="7" t="str">
        <x:v>Turkiye</x:v>
      </x:c>
      <x:c r="B272" s="7" t="str">
        <x:v>TUR</x:v>
      </x:c>
      <x:c r="C272" s="7" t="n">
        <x:v>2024</x:v>
      </x:c>
      <x:c r="D272" s="7" t="str">
        <x:v>0-17</x:v>
      </x:c>
      <x:c r="E272" s="7" t="str">
        <x:v>Male</x:v>
      </x:c>
      <x:c r="F272" s="7" t="n">
        <x:v>11225908</x:v>
      </x:c>
      <x:c r="G272" s="7" t="n">
        <x:v>0.13126851927674593</x:v>
      </x:c>
      <x:c r="H272" s="7" t="str">
        <x:v>World Bank API / UN World Population Prospects</x:v>
      </x:c>
      <x:c r="I272" s="7" t="str">
        <x:v>https://api.worldbank.org/v2/</x:v>
      </x:c>
      <x:c r="J272" s="7" t="str">
        <x:v>Ages 15-19 split 60% to 0-17 and 40% to 18-29; age 80+ is sex total minus ages 0-79</x:v>
      </x:c>
    </x:row>
    <x:row r="273" ht="24" hidden="0" customHeight="1">
      <x:c r="A273" s="7" t="str">
        <x:v>Turkiye</x:v>
      </x:c>
      <x:c r="B273" s="7" t="str">
        <x:v>TUR</x:v>
      </x:c>
      <x:c r="C273" s="7" t="n">
        <x:v>2024</x:v>
      </x:c>
      <x:c r="D273" s="7" t="str">
        <x:v>18-29</x:v>
      </x:c>
      <x:c r="E273" s="7" t="str">
        <x:v>Male</x:v>
      </x:c>
      <x:c r="F273" s="7" t="n">
        <x:v>7975551</x:v>
      </x:c>
      <x:c r="G273" s="7" t="n">
        <x:v>0.09326094336299302</x:v>
      </x:c>
      <x:c r="H273" s="7" t="str">
        <x:v>World Bank API / UN World Population Prospects</x:v>
      </x:c>
      <x:c r="I273" s="7" t="str">
        <x:v>https://api.worldbank.org/v2/</x:v>
      </x:c>
      <x:c r="J273" s="7" t="str">
        <x:v>Ages 15-19 split 60% to 0-17 and 40% to 18-29; age 80+ is sex total minus ages 0-79</x:v>
      </x:c>
    </x:row>
    <x:row r="274" ht="24" hidden="0" customHeight="1">
      <x:c r="A274" s="7" t="str">
        <x:v>Turkiye</x:v>
      </x:c>
      <x:c r="B274" s="7" t="str">
        <x:v>TUR</x:v>
      </x:c>
      <x:c r="C274" s="7" t="n">
        <x:v>2024</x:v>
      </x:c>
      <x:c r="D274" s="7" t="str">
        <x:v>30-39</x:v>
      </x:c>
      <x:c r="E274" s="7" t="str">
        <x:v>Male</x:v>
      </x:c>
      <x:c r="F274" s="7" t="n">
        <x:v>6464306</x:v>
      </x:c>
      <x:c r="G274" s="7" t="n">
        <x:v>0.07558942018514532</x:v>
      </x:c>
      <x:c r="H274" s="7" t="str">
        <x:v>World Bank API / UN World Population Prospects</x:v>
      </x:c>
      <x:c r="I274" s="7" t="str">
        <x:v>https://api.worldbank.org/v2/</x:v>
      </x:c>
      <x:c r="J274" s="7" t="str">
        <x:v>Ages 15-19 split 60% to 0-17 and 40% to 18-29; age 80+ is sex total minus ages 0-79</x:v>
      </x:c>
    </x:row>
    <x:row r="275" ht="24" hidden="0" customHeight="1">
      <x:c r="A275" s="7" t="str">
        <x:v>Turkiye</x:v>
      </x:c>
      <x:c r="B275" s="7" t="str">
        <x:v>TUR</x:v>
      </x:c>
      <x:c r="C275" s="7" t="n">
        <x:v>2024</x:v>
      </x:c>
      <x:c r="D275" s="7" t="str">
        <x:v>40-49</x:v>
      </x:c>
      <x:c r="E275" s="7" t="str">
        <x:v>Male</x:v>
      </x:c>
      <x:c r="F275" s="7" t="n">
        <x:v>6353665</x:v>
      </x:c>
      <x:c r="G275" s="7" t="n">
        <x:v>0.07429565577505944</x:v>
      </x:c>
      <x:c r="H275" s="7" t="str">
        <x:v>World Bank API / UN World Population Prospects</x:v>
      </x:c>
      <x:c r="I275" s="7" t="str">
        <x:v>https://api.worldbank.org/v2/</x:v>
      </x:c>
      <x:c r="J275" s="7" t="str">
        <x:v>Ages 15-19 split 60% to 0-17 and 40% to 18-29; age 80+ is sex total minus ages 0-79</x:v>
      </x:c>
    </x:row>
    <x:row r="276" ht="24" hidden="0" customHeight="1">
      <x:c r="A276" s="7" t="str">
        <x:v>Turkiye</x:v>
      </x:c>
      <x:c r="B276" s="7" t="str">
        <x:v>TUR</x:v>
      </x:c>
      <x:c r="C276" s="7" t="n">
        <x:v>2024</x:v>
      </x:c>
      <x:c r="D276" s="7" t="str">
        <x:v>50-59</x:v>
      </x:c>
      <x:c r="E276" s="7" t="str">
        <x:v>Male</x:v>
      </x:c>
      <x:c r="F276" s="7" t="n">
        <x:v>4822915</x:v>
      </x:c>
      <x:c r="G276" s="7" t="n">
        <x:v>0.05639605372212271</x:v>
      </x:c>
      <x:c r="H276" s="7" t="str">
        <x:v>World Bank API / UN World Population Prospects</x:v>
      </x:c>
      <x:c r="I276" s="7" t="str">
        <x:v>https://api.worldbank.org/v2/</x:v>
      </x:c>
      <x:c r="J276" s="7" t="str">
        <x:v>Ages 15-19 split 60% to 0-17 and 40% to 18-29; age 80+ is sex total minus ages 0-79</x:v>
      </x:c>
    </x:row>
    <x:row r="277" ht="24" hidden="0" customHeight="1">
      <x:c r="A277" s="7" t="str">
        <x:v>Turkiye</x:v>
      </x:c>
      <x:c r="B277" s="7" t="str">
        <x:v>TUR</x:v>
      </x:c>
      <x:c r="C277" s="7" t="n">
        <x:v>2024</x:v>
      </x:c>
      <x:c r="D277" s="7" t="str">
        <x:v>60+</x:v>
      </x:c>
      <x:c r="E277" s="7" t="str">
        <x:v>Male</x:v>
      </x:c>
      <x:c r="F277" s="7" t="n">
        <x:v>5843284</x:v>
      </x:c>
      <x:c r="G277" s="7" t="n">
        <x:v>0.06832758992800414</x:v>
      </x:c>
      <x:c r="H277" s="7" t="str">
        <x:v>World Bank API / UN World Population Prospects</x:v>
      </x:c>
      <x:c r="I277" s="7" t="str">
        <x:v>https://api.worldbank.org/v2/</x:v>
      </x:c>
      <x:c r="J277" s="7" t="str">
        <x:v>Ages 15-19 split 60% to 0-17 and 40% to 18-29; age 80+ is sex total minus ages 0-79</x:v>
      </x:c>
    </x:row>
    <x:row r="278" ht="24" hidden="0" customHeight="1">
      <x:c r="A278" s="7" t="str">
        <x:v>Mexico</x:v>
      </x:c>
      <x:c r="B278" s="7" t="str">
        <x:v>MEX</x:v>
      </x:c>
      <x:c r="C278" s="7" t="n">
        <x:v>2024</x:v>
      </x:c>
      <x:c r="D278" s="7" t="str">
        <x:v>0-17</x:v>
      </x:c>
      <x:c r="E278" s="7" t="str">
        <x:v>Female</x:v>
      </x:c>
      <x:c r="F278" s="7" t="n">
        <x:v>19049354.6</x:v>
      </x:c>
      <x:c r="G278" s="7" t="n">
        <x:v>0.14556937193674507</x:v>
      </x:c>
      <x:c r="H278" s="7" t="str">
        <x:v>World Bank API / UN World Population Prospects</x:v>
      </x:c>
      <x:c r="I278" s="7" t="str">
        <x:v>https://api.worldbank.org/v2/</x:v>
      </x:c>
      <x:c r="J278" s="7" t="str">
        <x:v>Ages 15-19 split 60% to 0-17 and 40% to 18-29; age 80+ is sex total minus ages 0-79</x:v>
      </x:c>
    </x:row>
    <x:row r="279" ht="24" hidden="0" customHeight="1">
      <x:c r="A279" s="7" t="str">
        <x:v>Mexico</x:v>
      </x:c>
      <x:c r="B279" s="7" t="str">
        <x:v>MEX</x:v>
      </x:c>
      <x:c r="C279" s="7" t="n">
        <x:v>2024</x:v>
      </x:c>
      <x:c r="D279" s="7" t="str">
        <x:v>18-29</x:v>
      </x:c>
      <x:c r="E279" s="7" t="str">
        <x:v>Female</x:v>
      </x:c>
      <x:c r="F279" s="7" t="n">
        <x:v>13027690.4</x:v>
      </x:c>
      <x:c r="G279" s="7" t="n">
        <x:v>0.09955364625919469</x:v>
      </x:c>
      <x:c r="H279" s="7" t="str">
        <x:v>World Bank API / UN World Population Prospects</x:v>
      </x:c>
      <x:c r="I279" s="7" t="str">
        <x:v>https://api.worldbank.org/v2/</x:v>
      </x:c>
      <x:c r="J279" s="7" t="str">
        <x:v>Ages 15-19 split 60% to 0-17 and 40% to 18-29; age 80+ is sex total minus ages 0-79</x:v>
      </x:c>
    </x:row>
    <x:row r="280" ht="24" hidden="0" customHeight="1">
      <x:c r="A280" s="7" t="str">
        <x:v>Mexico</x:v>
      </x:c>
      <x:c r="B280" s="7" t="str">
        <x:v>MEX</x:v>
      </x:c>
      <x:c r="C280" s="7" t="n">
        <x:v>2024</x:v>
      </x:c>
      <x:c r="D280" s="7" t="str">
        <x:v>30-39</x:v>
      </x:c>
      <x:c r="E280" s="7" t="str">
        <x:v>Female</x:v>
      </x:c>
      <x:c r="F280" s="7" t="n">
        <x:v>10243384</x:v>
      </x:c>
      <x:c r="G280" s="7" t="n">
        <x:v>0.07827682389758776</x:v>
      </x:c>
      <x:c r="H280" s="7" t="str">
        <x:v>World Bank API / UN World Population Prospects</x:v>
      </x:c>
      <x:c r="I280" s="7" t="str">
        <x:v>https://api.worldbank.org/v2/</x:v>
      </x:c>
      <x:c r="J280" s="7" t="str">
        <x:v>Ages 15-19 split 60% to 0-17 and 40% to 18-29; age 80+ is sex total minus ages 0-79</x:v>
      </x:c>
    </x:row>
    <x:row r="281" ht="24" hidden="0" customHeight="1">
      <x:c r="A281" s="7" t="str">
        <x:v>Mexico</x:v>
      </x:c>
      <x:c r="B281" s="7" t="str">
        <x:v>MEX</x:v>
      </x:c>
      <x:c r="C281" s="7" t="n">
        <x:v>2024</x:v>
      </x:c>
      <x:c r="D281" s="7" t="str">
        <x:v>40-49</x:v>
      </x:c>
      <x:c r="E281" s="7" t="str">
        <x:v>Female</x:v>
      </x:c>
      <x:c r="F281" s="7" t="n">
        <x:v>8955227</x:v>
      </x:c>
      <x:c r="G281" s="7" t="n">
        <x:v>0.06843312003551982</x:v>
      </x:c>
      <x:c r="H281" s="7" t="str">
        <x:v>World Bank API / UN World Population Prospects</x:v>
      </x:c>
      <x:c r="I281" s="7" t="str">
        <x:v>https://api.worldbank.org/v2/</x:v>
      </x:c>
      <x:c r="J281" s="7" t="str">
        <x:v>Ages 15-19 split 60% to 0-17 and 40% to 18-29; age 80+ is sex total minus ages 0-79</x:v>
      </x:c>
    </x:row>
    <x:row r="282" ht="24" hidden="0" customHeight="1">
      <x:c r="A282" s="7" t="str">
        <x:v>Mexico</x:v>
      </x:c>
      <x:c r="B282" s="7" t="str">
        <x:v>MEX</x:v>
      </x:c>
      <x:c r="C282" s="7" t="n">
        <x:v>2024</x:v>
      </x:c>
      <x:c r="D282" s="7" t="str">
        <x:v>50-59</x:v>
      </x:c>
      <x:c r="E282" s="7" t="str">
        <x:v>Female</x:v>
      </x:c>
      <x:c r="F282" s="7" t="n">
        <x:v>7347771</x:v>
      </x:c>
      <x:c r="G282" s="7" t="n">
        <x:v>0.056149430364692214</x:v>
      </x:c>
      <x:c r="H282" s="7" t="str">
        <x:v>World Bank API / UN World Population Prospects</x:v>
      </x:c>
      <x:c r="I282" s="7" t="str">
        <x:v>https://api.worldbank.org/v2/</x:v>
      </x:c>
      <x:c r="J282" s="7" t="str">
        <x:v>Ages 15-19 split 60% to 0-17 and 40% to 18-29; age 80+ is sex total minus ages 0-79</x:v>
      </x:c>
    </x:row>
    <x:row r="283" ht="24" hidden="0" customHeight="1">
      <x:c r="A283" s="7" t="str">
        <x:v>Mexico</x:v>
      </x:c>
      <x:c r="B283" s="7" t="str">
        <x:v>MEX</x:v>
      </x:c>
      <x:c r="C283" s="7" t="n">
        <x:v>2024</x:v>
      </x:c>
      <x:c r="D283" s="7" t="str">
        <x:v>60+</x:v>
      </x:c>
      <x:c r="E283" s="7" t="str">
        <x:v>Female</x:v>
      </x:c>
      <x:c r="F283" s="7" t="n">
        <x:v>8778000</x:v>
      </x:c>
      <x:c r="G283" s="7" t="n">
        <x:v>0.06707880522423307</x:v>
      </x:c>
      <x:c r="H283" s="7" t="str">
        <x:v>World Bank API / UN World Population Prospects</x:v>
      </x:c>
      <x:c r="I283" s="7" t="str">
        <x:v>https://api.worldbank.org/v2/</x:v>
      </x:c>
      <x:c r="J283" s="7" t="str">
        <x:v>Ages 15-19 split 60% to 0-17 and 40% to 18-29; age 80+ is sex total minus ages 0-79</x:v>
      </x:c>
    </x:row>
    <x:row r="284" ht="24" hidden="0" customHeight="1">
      <x:c r="A284" s="7" t="str">
        <x:v>Mexico</x:v>
      </x:c>
      <x:c r="B284" s="7" t="str">
        <x:v>MEX</x:v>
      </x:c>
      <x:c r="C284" s="7" t="n">
        <x:v>2024</x:v>
      </x:c>
      <x:c r="D284" s="7" t="str">
        <x:v>0-17</x:v>
      </x:c>
      <x:c r="E284" s="7" t="str">
        <x:v>Male</x:v>
      </x:c>
      <x:c r="F284" s="7" t="n">
        <x:v>19711509</x:v>
      </x:c>
      <x:c r="G284" s="7" t="n">
        <x:v>0.15062935439584382</x:v>
      </x:c>
      <x:c r="H284" s="7" t="str">
        <x:v>World Bank API / UN World Population Prospects</x:v>
      </x:c>
      <x:c r="I284" s="7" t="str">
        <x:v>https://api.worldbank.org/v2/</x:v>
      </x:c>
      <x:c r="J284" s="7" t="str">
        <x:v>Ages 15-19 split 60% to 0-17 and 40% to 18-29; age 80+ is sex total minus ages 0-79</x:v>
      </x:c>
    </x:row>
    <x:row r="285" ht="24" hidden="0" customHeight="1">
      <x:c r="A285" s="7" t="str">
        <x:v>Mexico</x:v>
      </x:c>
      <x:c r="B285" s="7" t="str">
        <x:v>MEX</x:v>
      </x:c>
      <x:c r="C285" s="7" t="n">
        <x:v>2024</x:v>
      </x:c>
      <x:c r="D285" s="7" t="str">
        <x:v>18-29</x:v>
      </x:c>
      <x:c r="E285" s="7" t="str">
        <x:v>Male</x:v>
      </x:c>
      <x:c r="F285" s="7" t="n">
        <x:v>13110604</x:v>
      </x:c>
      <x:c r="G285" s="7" t="n">
        <x:v>0.10018724676327762</x:v>
      </x:c>
      <x:c r="H285" s="7" t="str">
        <x:v>World Bank API / UN World Population Prospects</x:v>
      </x:c>
      <x:c r="I285" s="7" t="str">
        <x:v>https://api.worldbank.org/v2/</x:v>
      </x:c>
      <x:c r="J285" s="7" t="str">
        <x:v>Ages 15-19 split 60% to 0-17 and 40% to 18-29; age 80+ is sex total minus ages 0-79</x:v>
      </x:c>
    </x:row>
    <x:row r="286" ht="24" hidden="0" customHeight="1">
      <x:c r="A286" s="7" t="str">
        <x:v>Mexico</x:v>
      </x:c>
      <x:c r="B286" s="7" t="str">
        <x:v>MEX</x:v>
      </x:c>
      <x:c r="C286" s="7" t="n">
        <x:v>2024</x:v>
      </x:c>
      <x:c r="D286" s="7" t="str">
        <x:v>30-39</x:v>
      </x:c>
      <x:c r="E286" s="7" t="str">
        <x:v>Male</x:v>
      </x:c>
      <x:c r="F286" s="7" t="n">
        <x:v>9579849</x:v>
      </x:c>
      <x:c r="G286" s="7" t="n">
        <x:v>0.07320629131334745</x:v>
      </x:c>
      <x:c r="H286" s="7" t="str">
        <x:v>World Bank API / UN World Population Prospects</x:v>
      </x:c>
      <x:c r="I286" s="7" t="str">
        <x:v>https://api.worldbank.org/v2/</x:v>
      </x:c>
      <x:c r="J286" s="7" t="str">
        <x:v>Ages 15-19 split 60% to 0-17 and 40% to 18-29; age 80+ is sex total minus ages 0-79</x:v>
      </x:c>
    </x:row>
    <x:row r="287" ht="24" hidden="0" customHeight="1">
      <x:c r="A287" s="7" t="str">
        <x:v>Mexico</x:v>
      </x:c>
      <x:c r="B287" s="7" t="str">
        <x:v>MEX</x:v>
      </x:c>
      <x:c r="C287" s="7" t="n">
        <x:v>2024</x:v>
      </x:c>
      <x:c r="D287" s="7" t="str">
        <x:v>40-49</x:v>
      </x:c>
      <x:c r="E287" s="7" t="str">
        <x:v>Male</x:v>
      </x:c>
      <x:c r="F287" s="7" t="n">
        <x:v>7631290</x:v>
      </x:c>
      <x:c r="G287" s="7" t="n">
        <x:v>0.05831599629979922</x:v>
      </x:c>
      <x:c r="H287" s="7" t="str">
        <x:v>World Bank API / UN World Population Prospects</x:v>
      </x:c>
      <x:c r="I287" s="7" t="str">
        <x:v>https://api.worldbank.org/v2/</x:v>
      </x:c>
      <x:c r="J287" s="7" t="str">
        <x:v>Ages 15-19 split 60% to 0-17 and 40% to 18-29; age 80+ is sex total minus ages 0-79</x:v>
      </x:c>
    </x:row>
    <x:row r="288" ht="24" hidden="0" customHeight="1">
      <x:c r="A288" s="7" t="str">
        <x:v>Mexico</x:v>
      </x:c>
      <x:c r="B288" s="7" t="str">
        <x:v>MEX</x:v>
      </x:c>
      <x:c r="C288" s="7" t="n">
        <x:v>2024</x:v>
      </x:c>
      <x:c r="D288" s="7" t="str">
        <x:v>50-59</x:v>
      </x:c>
      <x:c r="E288" s="7" t="str">
        <x:v>Male</x:v>
      </x:c>
      <x:c r="F288" s="7" t="n">
        <x:v>6250910</x:v>
      </x:c>
      <x:c r="G288" s="7" t="n">
        <x:v>0.04776755233130676</x:v>
      </x:c>
      <x:c r="H288" s="7" t="str">
        <x:v>World Bank API / UN World Population Prospects</x:v>
      </x:c>
      <x:c r="I288" s="7" t="str">
        <x:v>https://api.worldbank.org/v2/</x:v>
      </x:c>
      <x:c r="J288" s="7" t="str">
        <x:v>Ages 15-19 split 60% to 0-17 and 40% to 18-29; age 80+ is sex total minus ages 0-79</x:v>
      </x:c>
    </x:row>
    <x:row r="289" ht="24" hidden="0" customHeight="1">
      <x:c r="A289" s="7" t="str">
        <x:v>Mexico</x:v>
      </x:c>
      <x:c r="B289" s="7" t="str">
        <x:v>MEX</x:v>
      </x:c>
      <x:c r="C289" s="7" t="n">
        <x:v>2024</x:v>
      </x:c>
      <x:c r="D289" s="7" t="str">
        <x:v>60+</x:v>
      </x:c>
      <x:c r="E289" s="7" t="str">
        <x:v>Male</x:v>
      </x:c>
      <x:c r="F289" s="7" t="n">
        <x:v>7175418</x:v>
      </x:c>
      <x:c r="G289" s="7" t="n">
        <x:v>0.05483236117845249</x:v>
      </x:c>
      <x:c r="H289" s="7" t="str">
        <x:v>World Bank API / UN World Population Prospects</x:v>
      </x:c>
      <x:c r="I289" s="7" t="str">
        <x:v>https://api.worldbank.org/v2/</x:v>
      </x:c>
      <x:c r="J289" s="7" t="str">
        <x:v>Ages 15-19 split 60% to 0-17 and 40% to 18-29; age 80+ is sex total minus ages 0-79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11000061035156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34" hidden="0" customWidth="1"/>
  </x:cols>
  <x:sheetData>
    <x:row r="1" ht="15" hidden="0" customHeight="1">
      <x:c r="A1" s="6" t="str">
        <x:v>metric</x:v>
      </x:c>
      <x:c r="B1" s="6" t="str">
        <x:v>p10</x:v>
      </x:c>
      <x:c r="C1" s="6" t="str">
        <x:v>p50</x:v>
      </x:c>
      <x:c r="D1" s="6" t="str">
        <x:v>p90</x:v>
      </x:c>
      <x:c r="E1" s="6" t="str">
        <x:v>unit</x:v>
      </x:c>
      <x:c r="F1" s="6" t="str">
        <x:v>definition</x:v>
      </x:c>
    </x:row>
    <x:row r="2" ht="24" hidden="0" customHeight="1">
      <x:c r="A2" s="7" t="str">
        <x:v>True prevalent HS</x:v>
      </x:c>
      <x:c r="B2" s="64" t="n">
        <x:v>305712.5287419894</x:v>
      </x:c>
      <x:c r="C2" s="64" t="n">
        <x:v>1175928.1917728675</x:v>
      </x:c>
      <x:c r="D2" s="64" t="n">
        <x:v>4389376.947416353</x:v>
      </x:c>
      <x:c r="E2" s="7" t="str">
        <x:v>people</x:v>
      </x:c>
      <x:c r="F2" s="7" t="str">
        <x:v>Phase-1 posterior prevalence multiplied by Mexico 2024 population</x:v>
      </x:c>
    </x:row>
    <x:row r="3" ht="24" hidden="0" customHeight="1">
      <x:c r="A3" s="7" t="str">
        <x:v>Diagnosed HS</x:v>
      </x:c>
      <x:c r="B3" s="64" t="n">
        <x:v>209775.6644873417</x:v>
      </x:c>
      <x:c r="C3" s="64" t="n">
        <x:v>805896.9297038722</x:v>
      </x:c>
      <x:c r="D3" s="64" t="n">
        <x:v>3007357.039227902</x:v>
      </x:c>
      <x:c r="E3" s="7" t="str">
        <x:v>people</x:v>
      </x:c>
      <x:c r="F3" s="7" t="str">
        <x:v>Ever diagnosed proxy from disease duration and time-to-diagnosis distribution</x:v>
      </x:c>
    </x:row>
    <x:row r="4" ht="15" hidden="0" customHeight="1">
      <x:c r="A4" s="7" t="str">
        <x:v>Undiagnosed HS</x:v>
      </x:c>
      <x:c r="B4" s="64" t="n">
        <x:v>92618.17790613869</x:v>
      </x:c>
      <x:c r="C4" s="64" t="n">
        <x:v>364010.11799939175</x:v>
      </x:c>
      <x:c r="D4" s="64" t="n">
        <x:v>1381054.288576853</x:v>
      </x:c>
      <x:c r="E4" s="7" t="str">
        <x:v>people</x:v>
      </x:c>
      <x:c r="F4" s="7" t="str">
        <x:v>True prevalent minus diagnosed proxy</x:v>
      </x:c>
    </x:row>
    <x:row r="5" ht="24" hidden="0" customHeight="1">
      <x:c r="A5" s="7" t="str">
        <x:v>True moderate/severe HS</x:v>
      </x:c>
      <x:c r="B5" s="64" t="n">
        <x:v>139502.56648995215</x:v>
      </x:c>
      <x:c r="C5" s="64" t="n">
        <x:v>550917.5067346198</x:v>
      </x:c>
      <x:c r="D5" s="64" t="n">
        <x:v>2108969.0493027125</x:v>
      </x:c>
      <x:c r="E5" s="7" t="str">
        <x:v>people</x:v>
      </x:c>
      <x:c r="F5" s="7" t="str">
        <x:v>Current modified-Hurley moderate or severe before diagnosis</x:v>
      </x:c>
    </x:row>
    <x:row r="6" ht="15" hidden="0" customHeight="1">
      <x:c r="A6" s="7" t="str">
        <x:v>Diagnosed mild HS</x:v>
      </x:c>
      <x:c r="B6" s="64" t="n">
        <x:v>105610.94046842646</x:v>
      </x:c>
      <x:c r="C6" s="64" t="n">
        <x:v>415000.3446900485</x:v>
      </x:c>
      <x:c r="D6" s="64" t="n">
        <x:v>1582506.3339542756</x:v>
      </x:c>
      <x:c r="E6" s="7" t="str">
        <x:v>people</x:v>
      </x:c>
      <x:c r="F6" s="7" t="str">
        <x:v>Diagnosed proxy multiplied by current mild share</x:v>
      </x:c>
    </x:row>
    <x:row r="7" ht="24" hidden="0" customHeight="1">
      <x:c r="A7" s="7" t="str">
        <x:v>Diagnosed moderate HS</x:v>
      </x:c>
      <x:c r="B7" s="64" t="n">
        <x:v>33669.917584370836</x:v>
      </x:c>
      <x:c r="C7" s="64" t="n">
        <x:v>146449.56761091424</x:v>
      </x:c>
      <x:c r="D7" s="64" t="n">
        <x:v>593646.7172502573</x:v>
      </x:c>
      <x:c r="E7" s="7" t="str">
        <x:v>people</x:v>
      </x:c>
      <x:c r="F7" s="7" t="str">
        <x:v>Diagnosed proxy multiplied by current moderate share</x:v>
      </x:c>
    </x:row>
    <x:row r="8" ht="24" hidden="0" customHeight="1">
      <x:c r="A8" s="7" t="str">
        <x:v>Diagnosed severe HS</x:v>
      </x:c>
      <x:c r="B8" s="64" t="n">
        <x:v>53568.67921537182</x:v>
      </x:c>
      <x:c r="C8" s="64" t="n">
        <x:v>218562.71095164568</x:v>
      </x:c>
      <x:c r="D8" s="64" t="n">
        <x:v>864545.1777091514</x:v>
      </x:c>
      <x:c r="E8" s="7" t="str">
        <x:v>people</x:v>
      </x:c>
      <x:c r="F8" s="7" t="str">
        <x:v>Diagnosed proxy multiplied by current severe share</x:v>
      </x:c>
    </x:row>
    <x:row r="9" ht="24" hidden="0" customHeight="1">
      <x:c r="A9" s="7" t="str">
        <x:v>Diagnosed moderate/severe proxy</x:v>
      </x:c>
      <x:c r="B9" s="64" t="n">
        <x:v>95420.32701684561</x:v>
      </x:c>
      <x:c r="C9" s="64" t="n">
        <x:v>377821.7354628955</x:v>
      </x:c>
      <x:c r="D9" s="64" t="n">
        <x:v>1437555.6717881833</x:v>
      </x:c>
      <x:c r="E9" s="7" t="str">
        <x:v>people</x:v>
      </x:c>
      <x:c r="F9" s="7" t="str">
        <x:v>Pre-access clinical pool; not final label eligibility or treated patients</x:v>
      </x:c>
    </x:row>
    <x:row r="10" ht="24" hidden="0" customHeight="1">
      <x:c r="A10" s="7" t="str">
        <x:v>Diagnosed fraction</x:v>
      </x:c>
      <x:c r="B10" s="66" t="n">
        <x:v>0.6295150467503664</x:v>
      </x:c>
      <x:c r="C10" s="66" t="n">
        <x:v>0.6890582002298622</x:v>
      </x:c>
      <x:c r="D10" s="66" t="n">
        <x:v>0.7430601811513521</x:v>
      </x:c>
      <x:c r="E10" s="7" t="str">
        <x:v>proportion</x:v>
      </x:c>
      <x:c r="F10" s="7" t="str">
        <x:v>Model-derived fraction of true prevalent HS ever diagnosed</x:v>
      </x:c>
    </x:row>
    <x:row r="11" ht="15" hidden="0" customHeight="1">
      <x:c r="A11" s="7" t="str">
        <x:v>Moderate/severe share</x:v>
      </x:c>
      <x:c r="B11" s="66" t="n">
        <x:v>0.3588588423514389</x:v>
      </x:c>
      <x:c r="C11" s="66" t="n">
        <x:v>0.47716208447195574</x:v>
      </x:c>
      <x:c r="D11" s="66" t="n">
        <x:v>0.597620756676591</x:v>
      </x:c>
      <x:c r="E11" s="7" t="str">
        <x:v>proportion</x:v>
      </x:c>
      <x:c r="F11" s="7" t="str">
        <x:v>Discounted community severity prior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.890000343322754" hidden="0" customWidth="1"/>
    <x:col min="3" max="3" width="11" hidden="0" customWidth="1"/>
    <x:col min="4" max="4" width="11" hidden="0" customWidth="1"/>
    <x:col min="5" max="5" width="23.110000610351562" hidden="0" customWidth="1"/>
    <x:col min="6" max="6" width="11" hidden="0" customWidth="1"/>
    <x:col min="7" max="7" width="11" hidden="0" customWidth="1"/>
    <x:col min="8" max="8" width="11" hidden="0" customWidth="1"/>
    <x:col min="9" max="9" width="18.329999923706055" hidden="0" customWidth="1"/>
    <x:col min="10" max="10" width="11.109999656677246" hidden="0" customWidth="1"/>
  </x:cols>
  <x:sheetData>
    <x:row r="1" ht="15" hidden="0" customHeight="1">
      <x:c r="A1" s="6" t="str">
        <x:v>geography</x:v>
      </x:c>
      <x:c r="B1" s="6" t="str">
        <x:v>population_year</x:v>
      </x:c>
      <x:c r="C1" s="6" t="str">
        <x:v>age_group</x:v>
      </x:c>
      <x:c r="D1" s="6" t="str">
        <x:v>sex</x:v>
      </x:c>
      <x:c r="E1" s="6" t="str">
        <x:v>stage</x:v>
      </x:c>
      <x:c r="F1" s="6" t="str">
        <x:v>p10_people</x:v>
      </x:c>
      <x:c r="G1" s="6" t="str">
        <x:v>p50_people</x:v>
      </x:c>
      <x:c r="H1" s="6" t="str">
        <x:v>p90_people</x:v>
      </x:c>
      <x:c r="I1" s="6" t="str">
        <x:v>diagnosed_fraction_base</x:v>
      </x:c>
      <x:c r="J1" s="6" t="str">
        <x:v>hs_case_share</x:v>
      </x:c>
    </x:row>
    <x:row r="2" ht="15" hidden="0" customHeight="1">
      <x:c r="A2" s="7" t="str">
        <x:v>Mexico</x:v>
      </x:c>
      <x:c r="B2" s="7" t="n">
        <x:v>2024</x:v>
      </x:c>
      <x:c r="C2" s="7" t="str">
        <x:v>0-17</x:v>
      </x:c>
      <x:c r="D2" s="7" t="str">
        <x:v>Female</x:v>
      </x:c>
      <x:c r="E2" s="7" t="str">
        <x:v>True prevalent</x:v>
      </x:c>
      <x:c r="F2" s="64" t="n">
        <x:v>5288</x:v>
      </x:c>
      <x:c r="G2" s="64" t="n">
        <x:v>25642</x:v>
      </x:c>
      <x:c r="H2" s="64" t="n">
        <x:v>122183</x:v>
      </x:c>
      <x:c r="I2" s="66" t="n">
        <x:v>0.17813371725181462</x:v>
      </x:c>
      <x:c r="J2" s="66" t="n">
        <x:v>0.023872992257339437</x:v>
      </x:c>
    </x:row>
    <x:row r="3" ht="15" hidden="0" customHeight="1">
      <x:c r="A3" s="7" t="str">
        <x:v>Mexico</x:v>
      </x:c>
      <x:c r="B3" s="7" t="n">
        <x:v>2024</x:v>
      </x:c>
      <x:c r="C3" s="7" t="str">
        <x:v>0-17</x:v>
      </x:c>
      <x:c r="D3" s="7" t="str">
        <x:v>Female</x:v>
      </x:c>
      <x:c r="E3" s="7" t="str">
        <x:v>Diagnosed proxy</x:v>
      </x:c>
      <x:c r="F3" s="64" t="n">
        <x:v>942</x:v>
      </x:c>
      <x:c r="G3" s="64" t="n">
        <x:v>4568</x:v>
      </x:c>
      <x:c r="H3" s="64" t="n">
        <x:v>21765</x:v>
      </x:c>
      <x:c r="I3" s="66" t="n">
        <x:v>0.17813371725181462</x:v>
      </x:c>
      <x:c r="J3" s="66" t="n">
        <x:v>0.023872992257339437</x:v>
      </x:c>
    </x:row>
    <x:row r="4" ht="15" hidden="0" customHeight="1">
      <x:c r="A4" s="7" t="str">
        <x:v>Mexico</x:v>
      </x:c>
      <x:c r="B4" s="7" t="n">
        <x:v>2024</x:v>
      </x:c>
      <x:c r="C4" s="7" t="str">
        <x:v>0-17</x:v>
      </x:c>
      <x:c r="D4" s="7" t="str">
        <x:v>Female</x:v>
      </x:c>
      <x:c r="E4" s="7" t="str">
        <x:v>Diagnosed moderate/severe proxy</x:v>
      </x:c>
      <x:c r="F4" s="64" t="n">
        <x:v>435</x:v>
      </x:c>
      <x:c r="G4" s="64" t="n">
        <x:v>2143</x:v>
      </x:c>
      <x:c r="H4" s="64" t="n">
        <x:v>10311</x:v>
      </x:c>
      <x:c r="I4" s="66" t="n">
        <x:v>0.17813371725181462</x:v>
      </x:c>
      <x:c r="J4" s="66" t="n">
        <x:v>0.023872992257339437</x:v>
      </x:c>
    </x:row>
    <x:row r="5" ht="15" hidden="0" customHeight="1">
      <x:c r="A5" s="7" t="str">
        <x:v>Mexico</x:v>
      </x:c>
      <x:c r="B5" s="7" t="n">
        <x:v>2024</x:v>
      </x:c>
      <x:c r="C5" s="7" t="str">
        <x:v>0-17</x:v>
      </x:c>
      <x:c r="D5" s="7" t="str">
        <x:v>Male</x:v>
      </x:c>
      <x:c r="E5" s="7" t="str">
        <x:v>True prevalent</x:v>
      </x:c>
      <x:c r="F5" s="64" t="n">
        <x:v>4880</x:v>
      </x:c>
      <x:c r="G5" s="64" t="n">
        <x:v>23721</x:v>
      </x:c>
      <x:c r="H5" s="64" t="n">
        <x:v>113713</x:v>
      </x:c>
      <x:c r="I5" s="66" t="n">
        <x:v>0.14286402768650816</x:v>
      </x:c>
      <x:c r="J5" s="66" t="n">
        <x:v>0.02220974750909934</x:v>
      </x:c>
    </x:row>
    <x:row r="6" ht="15" hidden="0" customHeight="1">
      <x:c r="A6" s="7" t="str">
        <x:v>Mexico</x:v>
      </x:c>
      <x:c r="B6" s="7" t="n">
        <x:v>2024</x:v>
      </x:c>
      <x:c r="C6" s="7" t="str">
        <x:v>0-17</x:v>
      </x:c>
      <x:c r="D6" s="7" t="str">
        <x:v>Male</x:v>
      </x:c>
      <x:c r="E6" s="7" t="str">
        <x:v>Diagnosed proxy</x:v>
      </x:c>
      <x:c r="F6" s="64" t="n">
        <x:v>697</x:v>
      </x:c>
      <x:c r="G6" s="64" t="n">
        <x:v>3389</x:v>
      </x:c>
      <x:c r="H6" s="64" t="n">
        <x:v>16246</x:v>
      </x:c>
      <x:c r="I6" s="66" t="n">
        <x:v>0.14286402768650816</x:v>
      </x:c>
      <x:c r="J6" s="66" t="n">
        <x:v>0.02220974750909934</x:v>
      </x:c>
    </x:row>
    <x:row r="7" ht="15" hidden="0" customHeight="1">
      <x:c r="A7" s="7" t="str">
        <x:v>Mexico</x:v>
      </x:c>
      <x:c r="B7" s="7" t="n">
        <x:v>2024</x:v>
      </x:c>
      <x:c r="C7" s="7" t="str">
        <x:v>0-17</x:v>
      </x:c>
      <x:c r="D7" s="7" t="str">
        <x:v>Male</x:v>
      </x:c>
      <x:c r="E7" s="7" t="str">
        <x:v>Diagnosed moderate/severe proxy</x:v>
      </x:c>
      <x:c r="F7" s="64" t="n">
        <x:v>323</x:v>
      </x:c>
      <x:c r="G7" s="64" t="n">
        <x:v>1593</x:v>
      </x:c>
      <x:c r="H7" s="64" t="n">
        <x:v>7698</x:v>
      </x:c>
      <x:c r="I7" s="66" t="n">
        <x:v>0.14286402768650816</x:v>
      </x:c>
      <x:c r="J7" s="66" t="n">
        <x:v>0.02220974750909934</x:v>
      </x:c>
    </x:row>
    <x:row r="8" ht="15" hidden="0" customHeight="1">
      <x:c r="A8" s="7" t="str">
        <x:v>Mexico</x:v>
      </x:c>
      <x:c r="B8" s="7" t="n">
        <x:v>2024</x:v>
      </x:c>
      <x:c r="C8" s="7" t="str">
        <x:v>18-29</x:v>
      </x:c>
      <x:c r="D8" s="7" t="str">
        <x:v>Female</x:v>
      </x:c>
      <x:c r="E8" s="7" t="str">
        <x:v>True prevalent</x:v>
      </x:c>
      <x:c r="F8" s="64" t="n">
        <x:v>39888</x:v>
      </x:c>
      <x:c r="G8" s="64" t="n">
        <x:v>178684</x:v>
      </x:c>
      <x:c r="H8" s="64" t="n">
        <x:v>747501</x:v>
      </x:c>
      <x:c r="I8" s="66" t="n">
        <x:v>0.5027767974798115</x:v>
      </x:c>
      <x:c r="J8" s="66" t="n">
        <x:v>0.16808562135950608</x:v>
      </x:c>
    </x:row>
    <x:row r="9" ht="15" hidden="0" customHeight="1">
      <x:c r="A9" s="7" t="str">
        <x:v>Mexico</x:v>
      </x:c>
      <x:c r="B9" s="7" t="n">
        <x:v>2024</x:v>
      </x:c>
      <x:c r="C9" s="7" t="str">
        <x:v>18-29</x:v>
      </x:c>
      <x:c r="D9" s="7" t="str">
        <x:v>Female</x:v>
      </x:c>
      <x:c r="E9" s="7" t="str">
        <x:v>Diagnosed proxy</x:v>
      </x:c>
      <x:c r="F9" s="64" t="n">
        <x:v>20055</x:v>
      </x:c>
      <x:c r="G9" s="64" t="n">
        <x:v>89838</x:v>
      </x:c>
      <x:c r="H9" s="64" t="n">
        <x:v>375826</x:v>
      </x:c>
      <x:c r="I9" s="66" t="n">
        <x:v>0.5027767974798115</x:v>
      </x:c>
      <x:c r="J9" s="66" t="n">
        <x:v>0.16808562135950608</x:v>
      </x:c>
    </x:row>
    <x:row r="10" ht="15" hidden="0" customHeight="1">
      <x:c r="A10" s="7" t="str">
        <x:v>Mexico</x:v>
      </x:c>
      <x:c r="B10" s="7" t="n">
        <x:v>2024</x:v>
      </x:c>
      <x:c r="C10" s="7" t="str">
        <x:v>18-29</x:v>
      </x:c>
      <x:c r="D10" s="7" t="str">
        <x:v>Female</x:v>
      </x:c>
      <x:c r="E10" s="7" t="str">
        <x:v>Diagnosed moderate/severe proxy</x:v>
      </x:c>
      <x:c r="F10" s="64" t="n">
        <x:v>9241</x:v>
      </x:c>
      <x:c r="G10" s="64" t="n">
        <x:v>41966</x:v>
      </x:c>
      <x:c r="H10" s="64" t="n">
        <x:v>180823</x:v>
      </x:c>
      <x:c r="I10" s="66" t="n">
        <x:v>0.5027767974798115</x:v>
      </x:c>
      <x:c r="J10" s="66" t="n">
        <x:v>0.16808562135950608</x:v>
      </x:c>
    </x:row>
    <x:row r="11" ht="15" hidden="0" customHeight="1">
      <x:c r="A11" s="7" t="str">
        <x:v>Mexico</x:v>
      </x:c>
      <x:c r="B11" s="7" t="n">
        <x:v>2024</x:v>
      </x:c>
      <x:c r="C11" s="7" t="str">
        <x:v>18-29</x:v>
      </x:c>
      <x:c r="D11" s="7" t="str">
        <x:v>Male</x:v>
      </x:c>
      <x:c r="E11" s="7" t="str">
        <x:v>True prevalent</x:v>
      </x:c>
      <x:c r="F11" s="64" t="n">
        <x:v>35838</x:v>
      </x:c>
      <x:c r="G11" s="64" t="n">
        <x:v>161461</x:v>
      </x:c>
      <x:c r="H11" s="64" t="n">
        <x:v>679122</x:v>
      </x:c>
      <x:c r="I11" s="66" t="n">
        <x:v>0.43161515059829536</x:v>
      </x:c>
      <x:c r="J11" s="66" t="n">
        <x:v>0.15097565853116135</x:v>
      </x:c>
    </x:row>
    <x:row r="12" ht="15" hidden="0" customHeight="1">
      <x:c r="A12" s="7" t="str">
        <x:v>Mexico</x:v>
      </x:c>
      <x:c r="B12" s="7" t="n">
        <x:v>2024</x:v>
      </x:c>
      <x:c r="C12" s="7" t="str">
        <x:v>18-29</x:v>
      </x:c>
      <x:c r="D12" s="7" t="str">
        <x:v>Male</x:v>
      </x:c>
      <x:c r="E12" s="7" t="str">
        <x:v>Diagnosed proxy</x:v>
      </x:c>
      <x:c r="F12" s="64" t="n">
        <x:v>15468</x:v>
      </x:c>
      <x:c r="G12" s="64" t="n">
        <x:v>69689</x:v>
      </x:c>
      <x:c r="H12" s="64" t="n">
        <x:v>293119</x:v>
      </x:c>
      <x:c r="I12" s="66" t="n">
        <x:v>0.43161515059829536</x:v>
      </x:c>
      <x:c r="J12" s="66" t="n">
        <x:v>0.15097565853116135</x:v>
      </x:c>
    </x:row>
    <x:row r="13" ht="15" hidden="0" customHeight="1">
      <x:c r="A13" s="7" t="str">
        <x:v>Mexico</x:v>
      </x:c>
      <x:c r="B13" s="7" t="n">
        <x:v>2024</x:v>
      </x:c>
      <x:c r="C13" s="7" t="str">
        <x:v>18-29</x:v>
      </x:c>
      <x:c r="D13" s="7" t="str">
        <x:v>Male</x:v>
      </x:c>
      <x:c r="E13" s="7" t="str">
        <x:v>Diagnosed moderate/severe proxy</x:v>
      </x:c>
      <x:c r="F13" s="64" t="n">
        <x:v>7099</x:v>
      </x:c>
      <x:c r="G13" s="64" t="n">
        <x:v>32852</x:v>
      </x:c>
      <x:c r="H13" s="64" t="n">
        <x:v>140680</x:v>
      </x:c>
      <x:c r="I13" s="66" t="n">
        <x:v>0.43161515059829536</x:v>
      </x:c>
      <x:c r="J13" s="66" t="n">
        <x:v>0.15097565853116135</x:v>
      </x:c>
    </x:row>
    <x:row r="14" ht="15" hidden="0" customHeight="1">
      <x:c r="A14" s="7" t="str">
        <x:v>Mexico</x:v>
      </x:c>
      <x:c r="B14" s="7" t="n">
        <x:v>2024</x:v>
      </x:c>
      <x:c r="C14" s="7" t="str">
        <x:v>30-39</x:v>
      </x:c>
      <x:c r="D14" s="7" t="str">
        <x:v>Female</x:v>
      </x:c>
      <x:c r="E14" s="7" t="str">
        <x:v>True prevalent</x:v>
      </x:c>
      <x:c r="F14" s="64" t="n">
        <x:v>37907</x:v>
      </x:c>
      <x:c r="G14" s="64" t="n">
        <x:v>153942</x:v>
      </x:c>
      <x:c r="H14" s="64" t="n">
        <x:v>608474</x:v>
      </x:c>
      <x:c r="I14" s="66" t="n">
        <x:v>0.7799061917382029</x:v>
      </x:c>
      <x:c r="J14" s="66" t="n">
        <x:v>0.14397478242276704</x:v>
      </x:c>
    </x:row>
    <x:row r="15" ht="15" hidden="0" customHeight="1">
      <x:c r="A15" s="7" t="str">
        <x:v>Mexico</x:v>
      </x:c>
      <x:c r="B15" s="7" t="n">
        <x:v>2024</x:v>
      </x:c>
      <x:c r="C15" s="7" t="str">
        <x:v>30-39</x:v>
      </x:c>
      <x:c r="D15" s="7" t="str">
        <x:v>Female</x:v>
      </x:c>
      <x:c r="E15" s="7" t="str">
        <x:v>Diagnosed proxy</x:v>
      </x:c>
      <x:c r="F15" s="64" t="n">
        <x:v>29564</x:v>
      </x:c>
      <x:c r="G15" s="64" t="n">
        <x:v>120060</x:v>
      </x:c>
      <x:c r="H15" s="64" t="n">
        <x:v>474553</x:v>
      </x:c>
      <x:c r="I15" s="66" t="n">
        <x:v>0.7799061917382029</x:v>
      </x:c>
      <x:c r="J15" s="66" t="n">
        <x:v>0.14397478242276704</x:v>
      </x:c>
    </x:row>
    <x:row r="16" ht="15" hidden="0" customHeight="1">
      <x:c r="A16" s="7" t="str">
        <x:v>Mexico</x:v>
      </x:c>
      <x:c r="B16" s="7" t="n">
        <x:v>2024</x:v>
      </x:c>
      <x:c r="C16" s="7" t="str">
        <x:v>30-39</x:v>
      </x:c>
      <x:c r="D16" s="7" t="str">
        <x:v>Female</x:v>
      </x:c>
      <x:c r="E16" s="7" t="str">
        <x:v>Diagnosed moderate/severe proxy</x:v>
      </x:c>
      <x:c r="F16" s="64" t="n">
        <x:v>13475</x:v>
      </x:c>
      <x:c r="G16" s="64" t="n">
        <x:v>56271</x:v>
      </x:c>
      <x:c r="H16" s="64" t="n">
        <x:v>227982</x:v>
      </x:c>
      <x:c r="I16" s="66" t="n">
        <x:v>0.7799061917382029</x:v>
      </x:c>
      <x:c r="J16" s="66" t="n">
        <x:v>0.14397478242276704</x:v>
      </x:c>
    </x:row>
    <x:row r="17" ht="15" hidden="0" customHeight="1">
      <x:c r="A17" s="7" t="str">
        <x:v>Mexico</x:v>
      </x:c>
      <x:c r="B17" s="7" t="n">
        <x:v>2024</x:v>
      </x:c>
      <x:c r="C17" s="7" t="str">
        <x:v>30-39</x:v>
      </x:c>
      <x:c r="D17" s="7" t="str">
        <x:v>Male</x:v>
      </x:c>
      <x:c r="E17" s="7" t="str">
        <x:v>True prevalent</x:v>
      </x:c>
      <x:c r="F17" s="64" t="n">
        <x:v>31577</x:v>
      </x:c>
      <x:c r="G17" s="64" t="n">
        <x:v>129538</x:v>
      </x:c>
      <x:c r="H17" s="64" t="n">
        <x:v>511599</x:v>
      </x:c>
      <x:c r="I17" s="66" t="n">
        <x:v>0.7236171456516629</x:v>
      </x:c>
      <x:c r="J17" s="66" t="n">
        <x:v>0.12094433336203261</x:v>
      </x:c>
    </x:row>
    <x:row r="18" ht="15" hidden="0" customHeight="1">
      <x:c r="A18" s="7" t="str">
        <x:v>Mexico</x:v>
      </x:c>
      <x:c r="B18" s="7" t="n">
        <x:v>2024</x:v>
      </x:c>
      <x:c r="C18" s="7" t="str">
        <x:v>30-39</x:v>
      </x:c>
      <x:c r="D18" s="7" t="str">
        <x:v>Male</x:v>
      </x:c>
      <x:c r="E18" s="7" t="str">
        <x:v>Diagnosed proxy</x:v>
      </x:c>
      <x:c r="F18" s="64" t="n">
        <x:v>22849</x:v>
      </x:c>
      <x:c r="G18" s="64" t="n">
        <x:v>93736</x:v>
      </x:c>
      <x:c r="H18" s="64" t="n">
        <x:v>370202</x:v>
      </x:c>
      <x:c r="I18" s="66" t="n">
        <x:v>0.7236171456516629</x:v>
      </x:c>
      <x:c r="J18" s="66" t="n">
        <x:v>0.12094433336203261</x:v>
      </x:c>
    </x:row>
    <x:row r="19" ht="15" hidden="0" customHeight="1">
      <x:c r="A19" s="7" t="str">
        <x:v>Mexico</x:v>
      </x:c>
      <x:c r="B19" s="7" t="n">
        <x:v>2024</x:v>
      </x:c>
      <x:c r="C19" s="7" t="str">
        <x:v>30-39</x:v>
      </x:c>
      <x:c r="D19" s="7" t="str">
        <x:v>Male</x:v>
      </x:c>
      <x:c r="E19" s="7" t="str">
        <x:v>Diagnosed moderate/severe proxy</x:v>
      </x:c>
      <x:c r="F19" s="64" t="n">
        <x:v>10534</x:v>
      </x:c>
      <x:c r="G19" s="64" t="n">
        <x:v>43948</x:v>
      </x:c>
      <x:c r="H19" s="64" t="n">
        <x:v>176793</x:v>
      </x:c>
      <x:c r="I19" s="66" t="n">
        <x:v>0.7236171456516629</x:v>
      </x:c>
      <x:c r="J19" s="66" t="n">
        <x:v>0.12094433336203261</x:v>
      </x:c>
    </x:row>
    <x:row r="20" ht="15" hidden="0" customHeight="1">
      <x:c r="A20" s="7" t="str">
        <x:v>Mexico</x:v>
      </x:c>
      <x:c r="B20" s="7" t="n">
        <x:v>2024</x:v>
      </x:c>
      <x:c r="C20" s="7" t="str">
        <x:v>40-49</x:v>
      </x:c>
      <x:c r="D20" s="7" t="str">
        <x:v>Female</x:v>
      </x:c>
      <x:c r="E20" s="7" t="str">
        <x:v>True prevalent</x:v>
      </x:c>
      <x:c r="F20" s="64" t="n">
        <x:v>25377</x:v>
      </x:c>
      <x:c r="G20" s="64" t="n">
        <x:v>114252</x:v>
      </x:c>
      <x:c r="H20" s="64" t="n">
        <x:v>491218</x:v>
      </x:c>
      <x:c r="I20" s="66" t="n">
        <x:v>0.8664386453461542</x:v>
      </x:c>
      <x:c r="J20" s="66" t="n">
        <x:v>0.10823645556462519</x:v>
      </x:c>
    </x:row>
    <x:row r="21" ht="15" hidden="0" customHeight="1">
      <x:c r="A21" s="7" t="str">
        <x:v>Mexico</x:v>
      </x:c>
      <x:c r="B21" s="7" t="n">
        <x:v>2024</x:v>
      </x:c>
      <x:c r="C21" s="7" t="str">
        <x:v>40-49</x:v>
      </x:c>
      <x:c r="D21" s="7" t="str">
        <x:v>Female</x:v>
      </x:c>
      <x:c r="E21" s="7" t="str">
        <x:v>Diagnosed proxy</x:v>
      </x:c>
      <x:c r="F21" s="64" t="n">
        <x:v>21987</x:v>
      </x:c>
      <x:c r="G21" s="64" t="n">
        <x:v>98993</x:v>
      </x:c>
      <x:c r="H21" s="64" t="n">
        <x:v>425611</x:v>
      </x:c>
      <x:c r="I21" s="66" t="n">
        <x:v>0.8664386453461542</x:v>
      </x:c>
      <x:c r="J21" s="66" t="n">
        <x:v>0.10823645556462519</x:v>
      </x:c>
    </x:row>
    <x:row r="22" ht="15" hidden="0" customHeight="1">
      <x:c r="A22" s="7" t="str">
        <x:v>Mexico</x:v>
      </x:c>
      <x:c r="B22" s="7" t="n">
        <x:v>2024</x:v>
      </x:c>
      <x:c r="C22" s="7" t="str">
        <x:v>40-49</x:v>
      </x:c>
      <x:c r="D22" s="7" t="str">
        <x:v>Female</x:v>
      </x:c>
      <x:c r="E22" s="7" t="str">
        <x:v>Diagnosed moderate/severe proxy</x:v>
      </x:c>
      <x:c r="F22" s="64" t="n">
        <x:v>10076</x:v>
      </x:c>
      <x:c r="G22" s="64" t="n">
        <x:v>46523</x:v>
      </x:c>
      <x:c r="H22" s="64" t="n">
        <x:v>205406</x:v>
      </x:c>
      <x:c r="I22" s="66" t="n">
        <x:v>0.8664386453461542</x:v>
      </x:c>
      <x:c r="J22" s="66" t="n">
        <x:v>0.10823645556462519</x:v>
      </x:c>
    </x:row>
    <x:row r="23" ht="15" hidden="0" customHeight="1">
      <x:c r="A23" s="7" t="str">
        <x:v>Mexico</x:v>
      </x:c>
      <x:c r="B23" s="7" t="n">
        <x:v>2024</x:v>
      </x:c>
      <x:c r="C23" s="7" t="str">
        <x:v>40-49</x:v>
      </x:c>
      <x:c r="D23" s="7" t="str">
        <x:v>Male</x:v>
      </x:c>
      <x:c r="E23" s="7" t="str">
        <x:v>True prevalent</x:v>
      </x:c>
      <x:c r="F23" s="64" t="n">
        <x:v>19277</x:v>
      </x:c>
      <x:c r="G23" s="64" t="n">
        <x:v>87972</x:v>
      </x:c>
      <x:c r="H23" s="64" t="n">
        <x:v>382148</x:v>
      </x:c>
      <x:c r="I23" s="66" t="n">
        <x:v>0.8405009993297704</x:v>
      </x:c>
      <x:c r="J23" s="66" t="n">
        <x:v>0.08256573842659999</x:v>
      </x:c>
    </x:row>
    <x:row r="24" ht="15" hidden="0" customHeight="1">
      <x:c r="A24" s="7" t="str">
        <x:v>Mexico</x:v>
      </x:c>
      <x:c r="B24" s="7" t="n">
        <x:v>2024</x:v>
      </x:c>
      <x:c r="C24" s="7" t="str">
        <x:v>40-49</x:v>
      </x:c>
      <x:c r="D24" s="7" t="str">
        <x:v>Male</x:v>
      </x:c>
      <x:c r="E24" s="7" t="str">
        <x:v>Diagnosed proxy</x:v>
      </x:c>
      <x:c r="F24" s="64" t="n">
        <x:v>16202</x:v>
      </x:c>
      <x:c r="G24" s="64" t="n">
        <x:v>73941</x:v>
      </x:c>
      <x:c r="H24" s="64" t="n">
        <x:v>321195</x:v>
      </x:c>
      <x:c r="I24" s="66" t="n">
        <x:v>0.8405009993297704</x:v>
      </x:c>
      <x:c r="J24" s="66" t="n">
        <x:v>0.08256573842659999</x:v>
      </x:c>
    </x:row>
    <x:row r="25" ht="15" hidden="0" customHeight="1">
      <x:c r="A25" s="7" t="str">
        <x:v>Mexico</x:v>
      </x:c>
      <x:c r="B25" s="7" t="n">
        <x:v>2024</x:v>
      </x:c>
      <x:c r="C25" s="7" t="str">
        <x:v>40-49</x:v>
      </x:c>
      <x:c r="D25" s="7" t="str">
        <x:v>Male</x:v>
      </x:c>
      <x:c r="E25" s="7" t="str">
        <x:v>Diagnosed moderate/severe proxy</x:v>
      </x:c>
      <x:c r="F25" s="64" t="n">
        <x:v>7447</x:v>
      </x:c>
      <x:c r="G25" s="64" t="n">
        <x:v>34622</x:v>
      </x:c>
      <x:c r="H25" s="64" t="n">
        <x:v>152560</x:v>
      </x:c>
      <x:c r="I25" s="66" t="n">
        <x:v>0.8405009993297704</x:v>
      </x:c>
      <x:c r="J25" s="66" t="n">
        <x:v>0.08256573842659999</x:v>
      </x:c>
    </x:row>
    <x:row r="26" ht="15" hidden="0" customHeight="1">
      <x:c r="A26" s="7" t="str">
        <x:v>Mexico</x:v>
      </x:c>
      <x:c r="B26" s="7" t="n">
        <x:v>2024</x:v>
      </x:c>
      <x:c r="C26" s="7" t="str">
        <x:v>50-59</x:v>
      </x:c>
      <x:c r="D26" s="7" t="str">
        <x:v>Female</x:v>
      </x:c>
      <x:c r="E26" s="7" t="str">
        <x:v>True prevalent</x:v>
      </x:c>
      <x:c r="F26" s="64" t="n">
        <x:v>15669</x:v>
      </x:c>
      <x:c r="G26" s="64" t="n">
        <x:v>72475</x:v>
      </x:c>
      <x:c r="H26" s="64" t="n">
        <x:v>317959</x:v>
      </x:c>
      <x:c r="I26" s="66" t="n">
        <x:v>0.9169719691474356</x:v>
      </x:c>
      <x:c r="J26" s="66" t="n">
        <x:v>0.06793954878032517</x:v>
      </x:c>
    </x:row>
    <x:row r="27" ht="15" hidden="0" customHeight="1">
      <x:c r="A27" s="7" t="str">
        <x:v>Mexico</x:v>
      </x:c>
      <x:c r="B27" s="7" t="n">
        <x:v>2024</x:v>
      </x:c>
      <x:c r="C27" s="7" t="str">
        <x:v>50-59</x:v>
      </x:c>
      <x:c r="D27" s="7" t="str">
        <x:v>Female</x:v>
      </x:c>
      <x:c r="E27" s="7" t="str">
        <x:v>Diagnosed proxy</x:v>
      </x:c>
      <x:c r="F27" s="64" t="n">
        <x:v>14368</x:v>
      </x:c>
      <x:c r="G27" s="64" t="n">
        <x:v>66458</x:v>
      </x:c>
      <x:c r="H27" s="64" t="n">
        <x:v>291560</x:v>
      </x:c>
      <x:c r="I27" s="66" t="n">
        <x:v>0.9169719691474356</x:v>
      </x:c>
      <x:c r="J27" s="66" t="n">
        <x:v>0.06793954878032517</x:v>
      </x:c>
    </x:row>
    <x:row r="28" ht="15" hidden="0" customHeight="1">
      <x:c r="A28" s="7" t="str">
        <x:v>Mexico</x:v>
      </x:c>
      <x:c r="B28" s="7" t="n">
        <x:v>2024</x:v>
      </x:c>
      <x:c r="C28" s="7" t="str">
        <x:v>50-59</x:v>
      </x:c>
      <x:c r="D28" s="7" t="str">
        <x:v>Female</x:v>
      </x:c>
      <x:c r="E28" s="7" t="str">
        <x:v>Diagnosed moderate/severe proxy</x:v>
      </x:c>
      <x:c r="F28" s="64" t="n">
        <x:v>6580</x:v>
      </x:c>
      <x:c r="G28" s="64" t="n">
        <x:v>31202</x:v>
      </x:c>
      <x:c r="H28" s="64" t="n">
        <x:v>140217</x:v>
      </x:c>
      <x:c r="I28" s="66" t="n">
        <x:v>0.9169719691474356</x:v>
      </x:c>
      <x:c r="J28" s="66" t="n">
        <x:v>0.06793954878032517</x:v>
      </x:c>
    </x:row>
    <x:row r="29" ht="15" hidden="0" customHeight="1">
      <x:c r="A29" s="7" t="str">
        <x:v>Mexico</x:v>
      </x:c>
      <x:c r="B29" s="7" t="n">
        <x:v>2024</x:v>
      </x:c>
      <x:c r="C29" s="7" t="str">
        <x:v>50-59</x:v>
      </x:c>
      <x:c r="D29" s="7" t="str">
        <x:v>Male</x:v>
      </x:c>
      <x:c r="E29" s="7" t="str">
        <x:v>True prevalent</x:v>
      </x:c>
      <x:c r="F29" s="64" t="n">
        <x:v>12081</x:v>
      </x:c>
      <x:c r="G29" s="64" t="n">
        <x:v>55336</x:v>
      </x:c>
      <x:c r="H29" s="64" t="n">
        <x:v>243885</x:v>
      </x:c>
      <x:c r="I29" s="66" t="n">
        <x:v>0.904025630462865</x:v>
      </x:c>
      <x:c r="J29" s="66" t="n">
        <x:v>0.05153457495012071</x:v>
      </x:c>
    </x:row>
    <x:row r="30" ht="15" hidden="0" customHeight="1">
      <x:c r="A30" s="7" t="str">
        <x:v>Mexico</x:v>
      </x:c>
      <x:c r="B30" s="7" t="n">
        <x:v>2024</x:v>
      </x:c>
      <x:c r="C30" s="7" t="str">
        <x:v>50-59</x:v>
      </x:c>
      <x:c r="D30" s="7" t="str">
        <x:v>Male</x:v>
      </x:c>
      <x:c r="E30" s="7" t="str">
        <x:v>Diagnosed proxy</x:v>
      </x:c>
      <x:c r="F30" s="64" t="n">
        <x:v>10922</x:v>
      </x:c>
      <x:c r="G30" s="64" t="n">
        <x:v>50025</x:v>
      </x:c>
      <x:c r="H30" s="64" t="n">
        <x:v>220478</x:v>
      </x:c>
      <x:c r="I30" s="66" t="n">
        <x:v>0.904025630462865</x:v>
      </x:c>
      <x:c r="J30" s="66" t="n">
        <x:v>0.05153457495012071</x:v>
      </x:c>
    </x:row>
    <x:row r="31" ht="15" hidden="0" customHeight="1">
      <x:c r="A31" s="7" t="str">
        <x:v>Mexico</x:v>
      </x:c>
      <x:c r="B31" s="7" t="n">
        <x:v>2024</x:v>
      </x:c>
      <x:c r="C31" s="7" t="str">
        <x:v>50-59</x:v>
      </x:c>
      <x:c r="D31" s="7" t="str">
        <x:v>Male</x:v>
      </x:c>
      <x:c r="E31" s="7" t="str">
        <x:v>Diagnosed moderate/severe proxy</x:v>
      </x:c>
      <x:c r="F31" s="64" t="n">
        <x:v>4977</x:v>
      </x:c>
      <x:c r="G31" s="64" t="n">
        <x:v>23400</x:v>
      </x:c>
      <x:c r="H31" s="64" t="n">
        <x:v>105143</x:v>
      </x:c>
      <x:c r="I31" s="66" t="n">
        <x:v>0.904025630462865</x:v>
      </x:c>
      <x:c r="J31" s="66" t="n">
        <x:v>0.05153457495012071</x:v>
      </x:c>
    </x:row>
    <x:row r="32" ht="15" hidden="0" customHeight="1">
      <x:c r="A32" s="7" t="str">
        <x:v>Mexico</x:v>
      </x:c>
      <x:c r="B32" s="7" t="n">
        <x:v>2024</x:v>
      </x:c>
      <x:c r="C32" s="7" t="str">
        <x:v>60+</x:v>
      </x:c>
      <x:c r="D32" s="7" t="str">
        <x:v>Female</x:v>
      </x:c>
      <x:c r="E32" s="7" t="str">
        <x:v>True prevalent</x:v>
      </x:c>
      <x:c r="F32" s="64" t="n">
        <x:v>7811</x:v>
      </x:c>
      <x:c r="G32" s="64" t="n">
        <x:v>36647</x:v>
      </x:c>
      <x:c r="H32" s="64" t="n">
        <x:v>169156</x:v>
      </x:c>
      <x:c r="I32" s="66" t="n">
        <x:v>0.975758159184468</x:v>
      </x:c>
      <x:c r="J32" s="66" t="n">
        <x:v>0.034502083170423206</x:v>
      </x:c>
    </x:row>
    <x:row r="33" ht="15" hidden="0" customHeight="1">
      <x:c r="A33" s="7" t="str">
        <x:v>Mexico</x:v>
      </x:c>
      <x:c r="B33" s="7" t="n">
        <x:v>2024</x:v>
      </x:c>
      <x:c r="C33" s="7" t="str">
        <x:v>60+</x:v>
      </x:c>
      <x:c r="D33" s="7" t="str">
        <x:v>Female</x:v>
      </x:c>
      <x:c r="E33" s="7" t="str">
        <x:v>Diagnosed proxy</x:v>
      </x:c>
      <x:c r="F33" s="64" t="n">
        <x:v>7621</x:v>
      </x:c>
      <x:c r="G33" s="64" t="n">
        <x:v>35758</x:v>
      </x:c>
      <x:c r="H33" s="64" t="n">
        <x:v>165056</x:v>
      </x:c>
      <x:c r="I33" s="66" t="n">
        <x:v>0.975758159184468</x:v>
      </x:c>
      <x:c r="J33" s="66" t="n">
        <x:v>0.034502083170423206</x:v>
      </x:c>
    </x:row>
    <x:row r="34" ht="15" hidden="0" customHeight="1">
      <x:c r="A34" s="7" t="str">
        <x:v>Mexico</x:v>
      </x:c>
      <x:c r="B34" s="7" t="n">
        <x:v>2024</x:v>
      </x:c>
      <x:c r="C34" s="7" t="str">
        <x:v>60+</x:v>
      </x:c>
      <x:c r="D34" s="7" t="str">
        <x:v>Female</x:v>
      </x:c>
      <x:c r="E34" s="7" t="str">
        <x:v>Diagnosed moderate/severe proxy</x:v>
      </x:c>
      <x:c r="F34" s="64" t="n">
        <x:v>3510</x:v>
      </x:c>
      <x:c r="G34" s="64" t="n">
        <x:v>16777</x:v>
      </x:c>
      <x:c r="H34" s="64" t="n">
        <x:v>79443</x:v>
      </x:c>
      <x:c r="I34" s="66" t="n">
        <x:v>0.975758159184468</x:v>
      </x:c>
      <x:c r="J34" s="66" t="n">
        <x:v>0.034502083170423206</x:v>
      </x:c>
    </x:row>
    <x:row r="35" ht="15" hidden="0" customHeight="1">
      <x:c r="A35" s="7" t="str">
        <x:v>Mexico</x:v>
      </x:c>
      <x:c r="B35" s="7" t="n">
        <x:v>2024</x:v>
      </x:c>
      <x:c r="C35" s="7" t="str">
        <x:v>60+</x:v>
      </x:c>
      <x:c r="D35" s="7" t="str">
        <x:v>Male</x:v>
      </x:c>
      <x:c r="E35" s="7" t="str">
        <x:v>True prevalent</x:v>
      </x:c>
      <x:c r="F35" s="64" t="n">
        <x:v>5712</x:v>
      </x:c>
      <x:c r="G35" s="64" t="n">
        <x:v>26850</x:v>
      </x:c>
      <x:c r="H35" s="64" t="n">
        <x:v>124056</x:v>
      </x:c>
      <x:c r="I35" s="66" t="n">
        <x:v>0.9710445593451544</x:v>
      </x:c>
      <x:c r="J35" s="66" t="n">
        <x:v>0.025158463665999848</x:v>
      </x:c>
    </x:row>
    <x:row r="36" ht="15" hidden="0" customHeight="1">
      <x:c r="A36" s="7" t="str">
        <x:v>Mexico</x:v>
      </x:c>
      <x:c r="B36" s="7" t="n">
        <x:v>2024</x:v>
      </x:c>
      <x:c r="C36" s="7" t="str">
        <x:v>60+</x:v>
      </x:c>
      <x:c r="D36" s="7" t="str">
        <x:v>Male</x:v>
      </x:c>
      <x:c r="E36" s="7" t="str">
        <x:v>Diagnosed proxy</x:v>
      </x:c>
      <x:c r="F36" s="64" t="n">
        <x:v>5546</x:v>
      </x:c>
      <x:c r="G36" s="64" t="n">
        <x:v>26073</x:v>
      </x:c>
      <x:c r="H36" s="64" t="n">
        <x:v>120464</x:v>
      </x:c>
      <x:c r="I36" s="66" t="n">
        <x:v>0.9710445593451544</x:v>
      </x:c>
      <x:c r="J36" s="66" t="n">
        <x:v>0.025158463665999848</x:v>
      </x:c>
    </x:row>
    <x:row r="37" ht="15" hidden="0" customHeight="1">
      <x:c r="A37" s="7" t="str">
        <x:v>Mexico</x:v>
      </x:c>
      <x:c r="B37" s="7" t="n">
        <x:v>2024</x:v>
      </x:c>
      <x:c r="C37" s="7" t="str">
        <x:v>60+</x:v>
      </x:c>
      <x:c r="D37" s="7" t="str">
        <x:v>Male</x:v>
      </x:c>
      <x:c r="E37" s="7" t="str">
        <x:v>Diagnosed moderate/severe proxy</x:v>
      </x:c>
      <x:c r="F37" s="64" t="n">
        <x:v>2552</x:v>
      </x:c>
      <x:c r="G37" s="64" t="n">
        <x:v>12267</x:v>
      </x:c>
      <x:c r="H37" s="64" t="n">
        <x:v>57417</x:v>
      </x:c>
      <x:c r="I37" s="66" t="n">
        <x:v>0.9710445593451544</x:v>
      </x:c>
      <x:c r="J37" s="66" t="n">
        <x:v>0.025158463665999848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670000076293945" hidden="0" customWidth="1"/>
    <x:col min="2" max="2" width="13.670000076293945" hidden="0" customWidth="1"/>
    <x:col min="3" max="3" width="11.5600004196167" hidden="0" customWidth="1"/>
    <x:col min="4" max="4" width="14.109999656677246" hidden="0" customWidth="1"/>
    <x:col min="5" max="5" width="16.889999389648438" hidden="0" customWidth="1"/>
    <x:col min="6" max="6" width="16.889999389648438" hidden="0" customWidth="1"/>
    <x:col min="7" max="7" width="16.889999389648438" hidden="0" customWidth="1"/>
  </x:cols>
  <x:sheetData>
    <x:row r="1" ht="15" hidden="0" customHeight="1">
      <x:c r="A1" s="6" t="str">
        <x:v>scenario</x:v>
      </x:c>
      <x:c r="B1" s="6" t="str">
        <x:v>delay_mean_years</x:v>
      </x:c>
      <x:c r="C1" s="6" t="str">
        <x:v>delay_sd_years</x:v>
      </x:c>
      <x:c r="D1" s="6" t="str">
        <x:v>diagnosed_fraction</x:v>
      </x:c>
      <x:c r="E1" s="6" t="str">
        <x:v>p10_diagnosed_people</x:v>
      </x:c>
      <x:c r="F1" s="6" t="str">
        <x:v>p50_diagnosed_people</x:v>
      </x:c>
      <x:c r="G1" s="6" t="str">
        <x:v>p90_diagnosed_people</x:v>
      </x:c>
    </x:row>
    <x:row r="2" ht="15" hidden="0" customHeight="1">
      <x:c r="A2" s="7" t="str">
        <x:v>Faster diagnosis</x:v>
      </x:c>
      <x:c r="B2" s="7" t="n">
        <x:v>7</x:v>
      </x:c>
      <x:c r="C2" s="7" t="n">
        <x:v>7</x:v>
      </x:c>
      <x:c r="D2" s="66" t="n">
        <x:v>0.7713377006779141</x:v>
      </x:c>
      <x:c r="E2" s="64" t="n">
        <x:v>235324</x:v>
      </x:c>
      <x:c r="F2" s="64" t="n">
        <x:v>903457</x:v>
      </x:c>
      <x:c r="G2" s="64" t="n">
        <x:v>3372549</x:v>
      </x:c>
    </x:row>
    <x:row r="3" ht="15" hidden="0" customHeight="1">
      <x:c r="A3" s="7" t="str">
        <x:v>Base</x:v>
      </x:c>
      <x:c r="B3" s="7" t="n">
        <x:v>10</x:v>
      </x:c>
      <x:c r="C3" s="7" t="n">
        <x:v>9.6</x:v>
      </x:c>
      <x:c r="D3" s="66" t="n">
        <x:v>0.6890582002298622</x:v>
      </x:c>
      <x:c r="E3" s="64" t="n">
        <x:v>209776</x:v>
      </x:c>
      <x:c r="F3" s="64" t="n">
        <x:v>805897</x:v>
      </x:c>
      <x:c r="G3" s="64" t="n">
        <x:v>3007357</x:v>
      </x:c>
    </x:row>
    <x:row r="4" ht="15" hidden="0" customHeight="1">
      <x:c r="A4" s="7" t="str">
        <x:v>Slower diagnosis</x:v>
      </x:c>
      <x:c r="B4" s="7" t="n">
        <x:v>14</x:v>
      </x:c>
      <x:c r="C4" s="7" t="n">
        <x:v>12</x:v>
      </x:c>
      <x:c r="D4" s="66" t="n">
        <x:v>0.5875725564959868</x:v>
      </x:c>
      <x:c r="E4" s="64" t="n">
        <x:v>177645</x:v>
      </x:c>
      <x:c r="F4" s="64" t="n">
        <x:v>685761</x:v>
      </x:c>
      <x:c r="G4" s="64" t="n">
        <x:v>2569668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110000610351562" hidden="0" customWidth="1"/>
    <x:col min="2" max="2" width="11" hidden="0" customWidth="1"/>
    <x:col min="3" max="3" width="11.890000343322754" hidden="0" customWidth="1"/>
    <x:col min="4" max="4" width="11" hidden="0" customWidth="1"/>
    <x:col min="5" max="5" width="17.440000534057617" hidden="0" customWidth="1"/>
    <x:col min="6" max="6" width="24.329999923706055" hidden="0" customWidth="1"/>
    <x:col min="7" max="7" width="24.329999923706055" hidden="0" customWidth="1"/>
    <x:col min="8" max="8" width="24.329999923706055" hidden="0" customWidth="1"/>
    <x:col min="9" max="9" width="33.779998779296875" hidden="0" customWidth="1"/>
  </x:cols>
  <x:sheetData>
    <x:row r="1" ht="15" hidden="0" customHeight="1">
      <x:c r="A1" s="6" t="str">
        <x:v>scenario</x:v>
      </x:c>
      <x:c r="B1" s="6" t="str">
        <x:v>mild_share</x:v>
      </x:c>
      <x:c r="C1" s="6" t="str">
        <x:v>moderate_share</x:v>
      </x:c>
      <x:c r="D1" s="6" t="str">
        <x:v>severe_share</x:v>
      </x:c>
      <x:c r="E1" s="6" t="str">
        <x:v>moderate_severe_share</x:v>
      </x:c>
      <x:c r="F1" s="6" t="str">
        <x:v>p10_diagnosed_moderate_severe</x:v>
      </x:c>
      <x:c r="G1" s="6" t="str">
        <x:v>p50_diagnosed_moderate_severe</x:v>
      </x:c>
      <x:c r="H1" s="6" t="str">
        <x:v>p90_diagnosed_moderate_severe</x:v>
      </x:c>
      <x:c r="I1" s="6" t="str">
        <x:v>basis</x:v>
      </x:c>
    </x:row>
    <x:row r="2" ht="15" hidden="0" customHeight="1">
      <x:c r="A2" s="7" t="str">
        <x:v>Community cohort base</x:v>
      </x:c>
      <x:c r="B2" s="66" t="n">
        <x:v>0.5327102803738317</x:v>
      </x:c>
      <x:c r="C2" s="66" t="n">
        <x:v>0.18691588785046728</x:v>
      </x:c>
      <x:c r="D2" s="66" t="n">
        <x:v>0.2803738317757009</x:v>
      </x:c>
      <x:c r="E2" s="66" t="n">
        <x:v>0.46728971962616817</x:v>
      </x:c>
      <x:c r="F2" s="64" t="n">
        <x:v>98026</x:v>
      </x:c>
      <x:c r="G2" s="64" t="n">
        <x:v>376587</x:v>
      </x:c>
      <x:c r="H2" s="64" t="n">
        <x:v>1405307</x:v>
      </x:c>
      <x:c r="I2" s="7" t="str">
        <x:v>Andersen 2026 baseline modified Hurley</x:v>
      </x:c>
    </x:row>
    <x:row r="3" ht="15" hidden="0" customHeight="1">
      <x:c r="A3" s="7" t="str">
        <x:v>Literature midpoint</x:v>
      </x:c>
      <x:c r="B3" s="66" t="n">
        <x:v>0.455</x:v>
      </x:c>
      <x:c r="C3" s="66" t="n">
        <x:v>0.415</x:v>
      </x:c>
      <x:c r="D3" s="66" t="n">
        <x:v>0.13</x:v>
      </x:c>
      <x:c r="E3" s="66" t="n">
        <x:v>0.5449999999999999</x:v>
      </x:c>
      <x:c r="F3" s="64" t="n">
        <x:v>114328</x:v>
      </x:c>
      <x:c r="G3" s="64" t="n">
        <x:v>439214</x:v>
      </x:c>
      <x:c r="H3" s="64" t="n">
        <x:v>1639010</x:v>
      </x:c>
      <x:c r="I3" s="7" t="str">
        <x:v>Calao 2018 summary across diagnosed studies</x:v>
      </x:c>
    </x:row>
    <x:row r="4" ht="15" hidden="0" customHeight="1">
      <x:c r="A4" s="7" t="str">
        <x:v>Mild-heavy bound</x:v>
      </x:c>
      <x:c r="B4" s="66" t="n">
        <x:v>0.68</x:v>
      </x:c>
      <x:c r="C4" s="66" t="n">
        <x:v>0.28</x:v>
      </x:c>
      <x:c r="D4" s="66" t="n">
        <x:v>0.04</x:v>
      </x:c>
      <x:c r="E4" s="66" t="n">
        <x:v>0.32</x:v>
      </x:c>
      <x:c r="F4" s="64" t="n">
        <x:v>67128</x:v>
      </x:c>
      <x:c r="G4" s="64" t="n">
        <x:v>257887</x:v>
      </x:c>
      <x:c r="H4" s="64" t="n">
        <x:v>962354</x:v>
      </x:c>
      <x:c r="I4" s="7" t="str">
        <x:v>Feasible combination within Calao reported ranges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7.780000686645508" hidden="0" customWidth="1"/>
    <x:col min="3" max="3" width="11" hidden="0" customWidth="1"/>
  </x:cols>
  <x:sheetData>
    <x:row r="1" ht="15" hidden="0" customHeight="1">
      <x:c r="A1" s="6" t="str">
        <x:v>duration_band</x:v>
      </x:c>
      <x:c r="B1" s="6" t="str">
        <x:v>share_current_prevalent</x:v>
      </x:c>
      <x:c r="C1" s="6" t="str">
        <x:v>p50_people</x:v>
      </x:c>
    </x:row>
    <x:row r="2" ht="15" hidden="0" customHeight="1">
      <x:c r="A2" s="7" t="str">
        <x:v>&lt;5</x:v>
      </x:c>
      <x:c r="B2" s="66" t="n">
        <x:v>0.1767619027484027</x:v>
      </x:c>
      <x:c r="C2" s="64" t="n">
        <x:v>207859</x:v>
      </x:c>
    </x:row>
    <x:row r="3" ht="15" hidden="0" customHeight="1">
      <x:c r="A3" s="7" t="str">
        <x:v>5-9</x:v>
      </x:c>
      <x:c r="B3" s="66" t="n">
        <x:v>0.17231926569100553</x:v>
      </x:c>
      <x:c r="C3" s="64" t="n">
        <x:v>202635</x:v>
      </x:c>
    </x:row>
    <x:row r="4" ht="15" hidden="0" customHeight="1">
      <x:c r="A4" s="7" t="str">
        <x:v>10-19</x:v>
      </x:c>
      <x:c r="B4" s="66" t="n">
        <x:v>0.2767186938067497</x:v>
      </x:c>
      <x:c r="C4" s="64" t="n">
        <x:v>325401</x:v>
      </x:c>
    </x:row>
    <x:row r="5" ht="15" hidden="0" customHeight="1">
      <x:c r="A5" s="7" t="str">
        <x:v>20-29</x:v>
      </x:c>
      <x:c r="B5" s="66" t="n">
        <x:v>0.18751843286515044</x:v>
      </x:c>
      <x:c r="C5" s="64" t="n">
        <x:v>220508</x:v>
      </x:c>
    </x:row>
    <x:row r="6" ht="15" hidden="0" customHeight="1">
      <x:c r="A6" s="7" t="str">
        <x:v>30+</x:v>
      </x:c>
      <x:c r="B6" s="66" t="n">
        <x:v>0.1866817048886916</x:v>
      </x:c>
      <x:c r="C6" s="64" t="n">
        <x:v>219524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9.889999389648438" hidden="0" customWidth="1"/>
    <x:col min="3" max="3" width="11" hidden="0" customWidth="1"/>
    <x:col min="4" max="4" width="11" hidden="0" customWidth="1"/>
    <x:col min="5" max="5" width="11" hidden="0" customWidth="1"/>
    <x:col min="6" max="6" width="27.440000534057617" hidden="0" customWidth="1"/>
    <x:col min="7" max="7" width="17.670000076293945" hidden="0" customWidth="1"/>
    <x:col min="8" max="8" width="30.329999923706055" hidden="0" customWidth="1"/>
  </x:cols>
  <x:sheetData>
    <x:row r="1" ht="15" hidden="0" customHeight="1">
      <x:c r="A1" s="6" t="str">
        <x:v>stage_order</x:v>
      </x:c>
      <x:c r="B1" s="6" t="str">
        <x:v>stage</x:v>
      </x:c>
      <x:c r="C1" s="6" t="str">
        <x:v>p10_people</x:v>
      </x:c>
      <x:c r="D1" s="6" t="str">
        <x:v>p50_people</x:v>
      </x:c>
      <x:c r="E1" s="6" t="str">
        <x:v>p90_people</x:v>
      </x:c>
      <x:c r="F1" s="6" t="str">
        <x:v>median_conversion_from_prior_stage</x:v>
      </x:c>
      <x:c r="G1" s="6" t="str">
        <x:v>evidence_status</x:v>
      </x:c>
      <x:c r="H1" s="6" t="str">
        <x:v>interpretation</x:v>
      </x:c>
    </x:row>
    <x:row r="2" ht="15" hidden="0" customHeight="1">
      <x:c r="A2" s="7" t="n">
        <x:v>1</x:v>
      </x:c>
      <x:c r="B2" s="7" t="str">
        <x:v>Diagnosed moderate/severe</x:v>
      </x:c>
      <x:c r="C2" s="64" t="n">
        <x:v>95420</x:v>
      </x:c>
      <x:c r="D2" s="64" t="n">
        <x:v>377822</x:v>
      </x:c>
      <x:c r="E2" s="64" t="n">
        <x:v>1437556</x:v>
      </x:c>
      <x:c r="F2" s="66" t="n">
        <x:v>1</x:v>
      </x:c>
      <x:c r="G2" s="7" t="str">
        <x:v>Transported epidemiology</x:v>
      </x:c>
      <x:c r="H2" s="7" t="str">
        <x:v>Clinical module input</x:v>
      </x:c>
    </x:row>
    <x:row r="3" ht="15" hidden="0" customHeight="1">
      <x:c r="A3" s="7" t="n">
        <x:v>2</x:v>
      </x:c>
      <x:c r="B3" s="7" t="str">
        <x:v>Active disease</x:v>
      </x:c>
      <x:c r="C3" s="64" t="n">
        <x:v>79829</x:v>
      </x:c>
      <x:c r="D3" s="64" t="n">
        <x:v>316886</x:v>
      </x:c>
      <x:c r="E3" s="64" t="n">
        <x:v>1213465</x:v>
      </x:c>
      <x:c r="F3" s="66" t="n">
        <x:v>0.8437648741973418</x:v>
      </x:c>
      <x:c r="G3" s="7" t="str">
        <x:v>Scenario assumption</x:v>
      </x:c>
      <x:c r="H3" s="7" t="str">
        <x:v>Potential patient-years; not observed demand</x:v>
      </x:c>
    </x:row>
    <x:row r="4" ht="15" hidden="0" customHeight="1">
      <x:c r="A4" s="7" t="n">
        <x:v>3</x:v>
      </x:c>
      <x:c r="B4" s="7" t="str">
        <x:v>Failed conventional treatment</x:v>
      </x:c>
      <x:c r="C4" s="64" t="n">
        <x:v>47520</x:v>
      </x:c>
      <x:c r="D4" s="64" t="n">
        <x:v>188544</x:v>
      </x:c>
      <x:c r="E4" s="64" t="n">
        <x:v>729405</x:v>
      </x:c>
      <x:c r="F4" s="66" t="n">
        <x:v>0.6001162516153613</x:v>
      </x:c>
      <x:c r="G4" s="7" t="str">
        <x:v>Scenario assumption</x:v>
      </x:c>
      <x:c r="H4" s="7" t="str">
        <x:v>Potential patient-years; not observed demand</x:v>
      </x:c>
    </x:row>
    <x:row r="5" ht="15" hidden="0" customHeight="1">
      <x:c r="A5" s="7" t="n">
        <x:v>4</x:v>
      </x:c>
      <x:c r="B5" s="7" t="str">
        <x:v>Clinically compatible</x:v>
      </x:c>
      <x:c r="C5" s="64" t="n">
        <x:v>44006</x:v>
      </x:c>
      <x:c r="D5" s="64" t="n">
        <x:v>174170</x:v>
      </x:c>
      <x:c r="E5" s="64" t="n">
        <x:v>674592</x:v>
      </x:c>
      <x:c r="F5" s="66" t="n">
        <x:v>0.9260501345418564</x:v>
      </x:c>
      <x:c r="G5" s="7" t="str">
        <x:v>Scenario assumption</x:v>
      </x:c>
      <x:c r="H5" s="7" t="str">
        <x:v>Potential patient-years; not observed demand</x:v>
      </x:c>
    </x:row>
    <x:row r="6" ht="15" hidden="0" customHeight="1">
      <x:c r="A6" s="7" t="n">
        <x:v>5</x:v>
      </x:c>
      <x:c r="B6" s="7" t="str">
        <x:v>Public-sector clinical pool</x:v>
      </x:c>
      <x:c r="C6" s="64" t="n">
        <x:v>32871</x:v>
      </x:c>
      <x:c r="D6" s="64" t="n">
        <x:v>130332</x:v>
      </x:c>
      <x:c r="E6" s="64" t="n">
        <x:v>507556</x:v>
      </x:c>
      <x:c r="F6" s="66" t="n">
        <x:v>0.7501174359721307</x:v>
      </x:c>
      <x:c r="G6" s="7" t="str">
        <x:v>Scenario assumption</x:v>
      </x:c>
      <x:c r="H6" s="7" t="str">
        <x:v>Potential patient-years; not observed demand</x:v>
      </x:c>
    </x:row>
    <x:row r="7" ht="15" hidden="0" customHeight="1">
      <x:c r="A7" s="7" t="n">
        <x:v>6</x:v>
      </x:c>
      <x:c r="B7" s="7" t="str">
        <x:v>Specialist-evaluated</x:v>
      </x:c>
      <x:c r="C7" s="64" t="n">
        <x:v>7803</x:v>
      </x:c>
      <x:c r="D7" s="64" t="n">
        <x:v>32623</x:v>
      </x:c>
      <x:c r="E7" s="64" t="n">
        <x:v>132211</x:v>
      </x:c>
      <x:c r="F7" s="66" t="n">
        <x:v>0.256256191168375</x:v>
      </x:c>
      <x:c r="G7" s="7" t="str">
        <x:v>Scenario assumption</x:v>
      </x:c>
      <x:c r="H7" s="7" t="str">
        <x:v>Potential patient-years; not observed demand</x:v>
      </x:c>
    </x:row>
    <x:row r="8" ht="15" hidden="0" customHeight="1">
      <x:c r="A8" s="7" t="n">
        <x:v>7</x:v>
      </x:c>
      <x:c r="B8" s="7" t="str">
        <x:v>Biologic initiated</x:v>
      </x:c>
      <x:c r="C8" s="64" t="n">
        <x:v>1856</x:v>
      </x:c>
      <x:c r="D8" s="64" t="n">
        <x:v>8174</x:v>
      </x:c>
      <x:c r="E8" s="64" t="n">
        <x:v>34293</x:v>
      </x:c>
      <x:c r="F8" s="66" t="n">
        <x:v>0.256407227549866</x:v>
      </x:c>
      <x:c r="G8" s="7" t="str">
        <x:v>Scenario assumption</x:v>
      </x:c>
      <x:c r="H8" s="7" t="str">
        <x:v>Potential patient-years; not observed demand</x:v>
      </x:c>
    </x:row>
    <x:row r="9" ht="15" hidden="0" customHeight="1">
      <x:c r="A9" s="7" t="n">
        <x:v>8</x:v>
      </x:c>
      <x:c r="B9" s="7" t="str">
        <x:v>Persistent patient-years</x:v>
      </x:c>
      <x:c r="C9" s="64" t="n">
        <x:v>1184</x:v>
      </x:c>
      <x:c r="D9" s="64" t="n">
        <x:v>5204</x:v>
      </x:c>
      <x:c r="E9" s="64" t="n">
        <x:v>22069</x:v>
      </x:c>
      <x:c r="F9" s="66" t="n">
        <x:v>0.64398118140033</x:v>
      </x:c>
      <x:c r="G9" s="7" t="str">
        <x:v>Scenario assumption</x:v>
      </x:c>
      <x:c r="H9" s="7" t="str">
        <x:v>Potential patient-years; not observed 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779999732971191" hidden="0" customWidth="1"/>
    <x:col min="2" max="2" width="11" hidden="0" customWidth="1"/>
    <x:col min="3" max="3" width="16" hidden="0" customWidth="1"/>
    <x:col min="4" max="4" width="16" hidden="0" customWidth="1"/>
    <x:col min="5" max="5" width="16" hidden="0" customWidth="1"/>
    <x:col min="6" max="6" width="11" hidden="0" customWidth="1"/>
    <x:col min="7" max="7" width="11" hidden="0" customWidth="1"/>
    <x:col min="8" max="8" width="11" hidden="0" customWidth="1"/>
    <x:col min="9" max="9" width="11.220000267028809" hidden="0" customWidth="1"/>
    <x:col min="10" max="10" width="34" hidden="0" customWidth="1"/>
  </x:cols>
  <x:sheetData>
    <x:row r="1" ht="15" hidden="0" customHeight="1">
      <x:c r="A1" s="6" t="str">
        <x:v>scenario</x:v>
      </x:c>
      <x:c r="B1" s="6" t="str">
        <x:v>molecule</x:v>
      </x:c>
      <x:c r="C1" s="6" t="str">
        <x:v>p10_hs_patient_years</x:v>
      </x:c>
      <x:c r="D1" s="6" t="str">
        <x:v>p50_hs_patient_years</x:v>
      </x:c>
      <x:c r="E1" s="6" t="str">
        <x:v>p90_hs_patient_years</x:v>
      </x:c>
      <x:c r="F1" s="6" t="str">
        <x:v>p10_hs_units</x:v>
      </x:c>
      <x:c r="G1" s="6" t="str">
        <x:v>p50_hs_units</x:v>
      </x:c>
      <x:c r="H1" s="6" t="str">
        <x:v>p90_hs_units</x:v>
      </x:c>
      <x:c r="I1" s="6" t="str">
        <x:v>structural_zero</x:v>
      </x:c>
      <x:c r="J1" s="6" t="str">
        <x:v>interpretation</x:v>
      </x:c>
    </x:row>
    <x:row r="2" ht="24" hidden="0" customHeight="1">
      <x:c r="A2" s="7" t="str">
        <x:v>Current evidence</x:v>
      </x:c>
      <x:c r="B2" s="7" t="str">
        <x:v>Adalimumab</x:v>
      </x:c>
      <x:c r="C2" s="64" t="n">
        <x:v>1003</x:v>
      </x:c>
      <x:c r="D2" s="64" t="n">
        <x:v>4408</x:v>
      </x:c>
      <x:c r="E2" s="64" t="n">
        <x:v>18730</x:v>
      </x:c>
      <x:c r="F2" s="64" t="n">
        <x:v>58145</x:v>
      </x:c>
      <x:c r="G2" s="64" t="n">
        <x:v>255640</x:v>
      </x:c>
      <x:c r="H2" s="64" t="n">
        <x:v>1086319</x:v>
      </x:c>
      <x:c r="I2" s="7" t="str">
        <x:v>False</x:v>
      </x:c>
      <x:c r="J2" s="7" t="str">
        <x:v>Prior-predictive scenario; not observed treated patients</x:v>
      </x:c>
    </x:row>
    <x:row r="3" ht="24" hidden="0" customHeight="1">
      <x:c r="A3" s="7" t="str">
        <x:v>Current evidence</x:v>
      </x:c>
      <x:c r="B3" s="7" t="str">
        <x:v>Secukinumab</x:v>
      </x:c>
      <x:c r="C3" s="64" t="n">
        <x:v>143</x:v>
      </x:c>
      <x:c r="D3" s="64" t="n">
        <x:v>716</x:v>
      </x:c>
      <x:c r="E3" s="64" t="n">
        <x:v>3341</x:v>
      </x:c>
      <x:c r="F3" s="64" t="n">
        <x:v>4586</x:v>
      </x:c>
      <x:c r="G3" s="64" t="n">
        <x:v>22927</x:v>
      </x:c>
      <x:c r="H3" s="64" t="n">
        <x:v>106920</x:v>
      </x:c>
      <x:c r="I3" s="7" t="str">
        <x:v>False</x:v>
      </x:c>
      <x:c r="J3" s="7" t="str">
        <x:v>Prior-predictive scenario; not observed treated patients</x:v>
      </x:c>
    </x:row>
    <x:row r="4" ht="24" hidden="0" customHeight="1">
      <x:c r="A4" s="7" t="str">
        <x:v>Current evidence</x:v>
      </x:c>
      <x:c r="B4" s="7" t="str">
        <x:v>Bimekizumab</x:v>
      </x:c>
      <x:c r="C4" s="64" t="n">
        <x:v>0</x:v>
      </x:c>
      <x:c r="D4" s="64" t="n">
        <x:v>0</x:v>
      </x:c>
      <x:c r="E4" s="64" t="n">
        <x:v>0</x:v>
      </x:c>
      <x:c r="F4" s="64" t="n">
        <x:v>0</x:v>
      </x:c>
      <x:c r="G4" s="64" t="n">
        <x:v>0</x:v>
      </x:c>
      <x:c r="H4" s="64" t="n">
        <x:v>0</x:v>
      </x:c>
      <x:c r="I4" s="7" t="str">
        <x:v>True</x:v>
      </x:c>
      <x:c r="J4" s="7" t="str">
        <x:v>Prior-predictive scenario; not observed treated patients</x:v>
      </x:c>
    </x:row>
    <x:row r="5" ht="24" hidden="0" customHeight="1">
      <x:c r="A5" s="7" t="str">
        <x:v>Launch scenario</x:v>
      </x:c>
      <x:c r="B5" s="7" t="str">
        <x:v>Adalimumab</x:v>
      </x:c>
      <x:c r="C5" s="64" t="n">
        <x:v>782</x:v>
      </x:c>
      <x:c r="D5" s="64" t="n">
        <x:v>3487</x:v>
      </x:c>
      <x:c r="E5" s="64" t="n">
        <x:v>15075</x:v>
      </x:c>
      <x:c r="F5" s="64" t="n">
        <x:v>45374</x:v>
      </x:c>
      <x:c r="G5" s="64" t="n">
        <x:v>202273</x:v>
      </x:c>
      <x:c r="H5" s="64" t="n">
        <x:v>874329</x:v>
      </x:c>
      <x:c r="I5" s="7" t="str">
        <x:v>False</x:v>
      </x:c>
      <x:c r="J5" s="7" t="str">
        <x:v>Prior-predictive scenario; not observed treated patients</x:v>
      </x:c>
    </x:row>
    <x:row r="6" ht="24" hidden="0" customHeight="1">
      <x:c r="A6" s="7" t="str">
        <x:v>Launch scenario</x:v>
      </x:c>
      <x:c r="B6" s="7" t="str">
        <x:v>Secukinumab</x:v>
      </x:c>
      <x:c r="C6" s="64" t="n">
        <x:v>215</x:v>
      </x:c>
      <x:c r="D6" s="64" t="n">
        <x:v>1047</x:v>
      </x:c>
      <x:c r="E6" s="64" t="n">
        <x:v>4870</x:v>
      </x:c>
      <x:c r="F6" s="64" t="n">
        <x:v>6871</x:v>
      </x:c>
      <x:c r="G6" s="64" t="n">
        <x:v>33516</x:v>
      </x:c>
      <x:c r="H6" s="64" t="n">
        <x:v>155844</x:v>
      </x:c>
      <x:c r="I6" s="7" t="str">
        <x:v>False</x:v>
      </x:c>
      <x:c r="J6" s="7" t="str">
        <x:v>Prior-predictive scenario; not observed treated patients</x:v>
      </x:c>
    </x:row>
    <x:row r="7" ht="24" hidden="0" customHeight="1">
      <x:c r="A7" s="7" t="str">
        <x:v>Launch scenario</x:v>
      </x:c>
      <x:c r="B7" s="7" t="str">
        <x:v>Bimekizumab</x:v>
      </x:c>
      <x:c r="C7" s="64" t="n">
        <x:v>68</x:v>
      </x:c>
      <x:c r="D7" s="64" t="n">
        <x:v>420</x:v>
      </x:c>
      <x:c r="E7" s="64" t="n">
        <x:v>2275</x:v>
      </x:c>
      <x:c r="F7" s="64" t="n">
        <x:v>2464</x:v>
      </x:c>
      <x:c r="G7" s="64" t="n">
        <x:v>15116</x:v>
      </x:c>
      <x:c r="H7" s="64" t="n">
        <x:v>81904</x:v>
      </x:c>
      <x:c r="I7" s="7" t="str">
        <x:v>False</x:v>
      </x:c>
      <x:c r="J7" s="7" t="str">
        <x:v>Prior-predictive scenario; not observed treated patients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779999732971191" hidden="0" customWidth="1"/>
    <x:col min="2" max="2" width="11" hidden="0" customWidth="1"/>
    <x:col min="3" max="3" width="23.889999389648438" hidden="0" customWidth="1"/>
    <x:col min="4" max="4" width="23.889999389648438" hidden="0" customWidth="1"/>
    <x:col min="5" max="5" width="23.889999389648438" hidden="0" customWidth="1"/>
    <x:col min="6" max="6" width="17.889999389648438" hidden="0" customWidth="1"/>
    <x:col min="7" max="7" width="34" hidden="0" customWidth="1"/>
  </x:cols>
  <x:sheetData>
    <x:row r="1" ht="15" hidden="0" customHeight="1">
      <x:c r="A1" s="6" t="str">
        <x:v>scenario</x:v>
      </x:c>
      <x:c r="B1" s="6" t="str">
        <x:v>molecule</x:v>
      </x:c>
      <x:c r="C1" s="6" t="str">
        <x:v>p10_hs_share_of_modeled_units</x:v>
      </x:c>
      <x:c r="D1" s="6" t="str">
        <x:v>p50_hs_share_of_modeled_units</x:v>
      </x:c>
      <x:c r="E1" s="6" t="str">
        <x:v>p90_hs_share_of_modeled_units</x:v>
      </x:c>
      <x:c r="F1" s="6" t="str">
        <x:v>observed_demand_used</x:v>
      </x:c>
      <x:c r="G1" s="6" t="str">
        <x:v>interpretation</x:v>
      </x:c>
    </x:row>
    <x:row r="2" ht="24" hidden="0" customHeight="1">
      <x:c r="A2" s="7" t="str">
        <x:v>Current evidence</x:v>
      </x:c>
      <x:c r="B2" s="7" t="str">
        <x:v>Adalimumab</x:v>
      </x:c>
      <x:c r="C2" s="66" t="n">
        <x:v>0.07325639160119794</x:v>
      </x:c>
      <x:c r="D2" s="66" t="n">
        <x:v>0.2626262118502781</x:v>
      </x:c>
      <x:c r="E2" s="66" t="n">
        <x:v>0.6079428572204514</x:v>
      </x:c>
      <x:c r="F2" s="7" t="str">
        <x:v>False</x:v>
      </x:c>
      <x:c r="G2" s="7" t="str">
        <x:v>HS share of modeled potential units across included indications</x:v>
      </x:c>
    </x:row>
    <x:row r="3" ht="24" hidden="0" customHeight="1">
      <x:c r="A3" s="7" t="str">
        <x:v>Current evidence</x:v>
      </x:c>
      <x:c r="B3" s="7" t="str">
        <x:v>Secukinumab</x:v>
      </x:c>
      <x:c r="C3" s="66" t="n">
        <x:v>0.00771476181914634</x:v>
      </x:c>
      <x:c r="D3" s="66" t="n">
        <x:v>0.039143364972997474</x:v>
      </x:c>
      <x:c r="E3" s="66" t="n">
        <x:v>0.16745593377584206</x:v>
      </x:c>
      <x:c r="F3" s="7" t="str">
        <x:v>False</x:v>
      </x:c>
      <x:c r="G3" s="7" t="str">
        <x:v>HS share of modeled potential units across included indications</x:v>
      </x:c>
    </x:row>
    <x:row r="4" ht="24" hidden="0" customHeight="1">
      <x:c r="A4" s="7" t="str">
        <x:v>Current evidence</x:v>
      </x:c>
      <x:c r="B4" s="7" t="str">
        <x:v>Bimekizumab</x:v>
      </x:c>
      <x:c r="C4" s="66" t="n">
        <x:v>0</x:v>
      </x:c>
      <x:c r="D4" s="66" t="n">
        <x:v>0</x:v>
      </x:c>
      <x:c r="E4" s="66" t="n">
        <x:v>0</x:v>
      </x:c>
      <x:c r="F4" s="7" t="str">
        <x:v>False</x:v>
      </x:c>
      <x:c r="G4" s="7" t="str">
        <x:v>HS share of modeled potential units across included indications</x:v>
      </x:c>
    </x:row>
    <x:row r="5" ht="24" hidden="0" customHeight="1">
      <x:c r="A5" s="7" t="str">
        <x:v>Launch scenario</x:v>
      </x:c>
      <x:c r="B5" s="7" t="str">
        <x:v>Adalimumab</x:v>
      </x:c>
      <x:c r="C5" s="66" t="n">
        <x:v>0.06118668879081146</x:v>
      </x:c>
      <x:c r="D5" s="66" t="n">
        <x:v>0.22942446386532556</x:v>
      </x:c>
      <x:c r="E5" s="66" t="n">
        <x:v>0.5683999316476243</x:v>
      </x:c>
      <x:c r="F5" s="7" t="str">
        <x:v>False</x:v>
      </x:c>
      <x:c r="G5" s="7" t="str">
        <x:v>HS share of modeled potential units across included indications</x:v>
      </x:c>
    </x:row>
    <x:row r="6" ht="24" hidden="0" customHeight="1">
      <x:c r="A6" s="7" t="str">
        <x:v>Launch scenario</x:v>
      </x:c>
      <x:c r="B6" s="7" t="str">
        <x:v>Secukinumab</x:v>
      </x:c>
      <x:c r="C6" s="66" t="n">
        <x:v>0.012842980596758256</x:v>
      </x:c>
      <x:c r="D6" s="66" t="n">
        <x:v>0.06251865969493811</x:v>
      </x:c>
      <x:c r="E6" s="66" t="n">
        <x:v>0.24727392360637487</x:v>
      </x:c>
      <x:c r="F6" s="7" t="str">
        <x:v>False</x:v>
      </x:c>
      <x:c r="G6" s="7" t="str">
        <x:v>HS share of modeled potential units across included indications</x:v>
      </x:c>
    </x:row>
    <x:row r="7" ht="24" hidden="0" customHeight="1">
      <x:c r="A7" s="7" t="str">
        <x:v>Launch scenario</x:v>
      </x:c>
      <x:c r="B7" s="7" t="str">
        <x:v>Bimekizumab</x:v>
      </x:c>
      <x:c r="C7" s="66" t="n">
        <x:v>0.03401003553119985</x:v>
      </x:c>
      <x:c r="D7" s="66" t="n">
        <x:v>0.18586715565372192</x:v>
      </x:c>
      <x:c r="E7" s="66" t="n">
        <x:v>0.571634282017771</x:v>
      </x:c>
      <x:c r="F7" s="7" t="str">
        <x:v>False</x:v>
      </x:c>
      <x:c r="G7" s="7" t="str">
        <x:v>HS share of modeled potential units across included indications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779999732971191" hidden="0" customWidth="1"/>
    <x:col min="2" max="2" width="11" hidden="0" customWidth="1"/>
    <x:col min="3" max="3" width="18.889999389648438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1.220000267028809" hidden="0" customWidth="1"/>
    <x:col min="8" max="8" width="34" hidden="0" customWidth="1"/>
    <x:col min="9" max="9" width="34" hidden="0" customWidth="1"/>
  </x:cols>
  <x:sheetData>
    <x:row r="1" ht="15" hidden="0" customHeight="1">
      <x:c r="A1" s="6" t="str">
        <x:v>scenario</x:v>
      </x:c>
      <x:c r="B1" s="6" t="str">
        <x:v>molecule</x:v>
      </x:c>
      <x:c r="C1" s="6" t="str">
        <x:v>indication</x:v>
      </x:c>
      <x:c r="D1" s="6" t="str">
        <x:v>p10_potential_units</x:v>
      </x:c>
      <x:c r="E1" s="6" t="str">
        <x:v>p50_potential_units</x:v>
      </x:c>
      <x:c r="F1" s="6" t="str">
        <x:v>p90_potential_units</x:v>
      </x:c>
      <x:c r="G1" s="6" t="str">
        <x:v>structural_zero</x:v>
      </x:c>
      <x:c r="H1" s="6" t="str">
        <x:v>basis</x:v>
      </x:c>
      <x:c r="I1" s="6" t="str">
        <x:v>interpretation</x:v>
      </x:c>
    </x:row>
    <x:row r="2" ht="24" hidden="0" customHeight="1">
      <x:c r="A2" s="7" t="str">
        <x:v>Current evidence</x:v>
      </x:c>
      <x:c r="B2" s="7" t="str">
        <x:v>Adalimumab</x:v>
      </x:c>
      <x:c r="C2" s="7" t="str">
        <x:v>Rheumatoid arthritis</x:v>
      </x:c>
      <x:c r="D2" s="7" t="n">
        <x:v>236182</x:v>
      </x:c>
      <x:c r="E2" s="7" t="n">
        <x:v>370047</x:v>
      </x:c>
      <x:c r="F2" s="7" t="n">
        <x:v>562377</x:v>
      </x:c>
      <x:c r="G2" s="7" t="str">
        <x:v>False</x:v>
      </x:c>
      <x:c r="H2" s="7" t="str">
        <x:v>Share among public biologic-treated patients; other biologics remain outside model</x:v>
      </x:c>
      <x:c r="I2" s="7" t="str">
        <x:v>Modeled potential units; not observed sales or demand</x:v>
      </x:c>
    </x:row>
    <x:row r="3" ht="24" hidden="0" customHeight="1">
      <x:c r="A3" s="7" t="str">
        <x:v>Current evidence</x:v>
      </x:c>
      <x:c r="B3" s="7" t="str">
        <x:v>Adalimumab</x:v>
      </x:c>
      <x:c r="C3" s="7" t="str">
        <x:v>Plaque psoriasis</x:v>
      </x:c>
      <x:c r="D3" s="7" t="n">
        <x:v>95746</x:v>
      </x:c>
      <x:c r="E3" s="7" t="n">
        <x:v>166546</x:v>
      </x:c>
      <x:c r="F3" s="7" t="n">
        <x:v>278147</x:v>
      </x:c>
      <x:c r="G3" s="7" t="str">
        <x:v>False</x:v>
      </x:c>
      <x:c r="H3" s="7" t="str">
        <x:v>Includes induction and q2w maintenance approximation</x:v>
      </x:c>
      <x:c r="I3" s="7" t="str">
        <x:v>Modeled potential units; not observed sales or demand</x:v>
      </x:c>
    </x:row>
    <x:row r="4" ht="24" hidden="0" customHeight="1">
      <x:c r="A4" s="7" t="str">
        <x:v>Current evidence</x:v>
      </x:c>
      <x:c r="B4" s="7" t="str">
        <x:v>Adalimumab</x:v>
      </x:c>
      <x:c r="C4" s="7" t="str">
        <x:v>Psoriatic arthritis</x:v>
      </x:c>
      <x:c r="D4" s="7" t="n">
        <x:v>48253</x:v>
      </x:c>
      <x:c r="E4" s="7" t="n">
        <x:v>85204</x:v>
      </x:c>
      <x:c r="F4" s="7" t="n">
        <x:v>142942</x:v>
      </x:c>
      <x:c r="G4" s="7" t="str">
        <x:v>False</x:v>
      </x:c>
      <x:c r="H4" s="7" t="str">
        <x:v>q2w maintenance approximation</x:v>
      </x:c>
      <x:c r="I4" s="7" t="str">
        <x:v>Modeled potential units; not observed sales or demand</x:v>
      </x:c>
    </x:row>
    <x:row r="5" ht="24" hidden="0" customHeight="1">
      <x:c r="A5" s="7" t="str">
        <x:v>Current evidence</x:v>
      </x:c>
      <x:c r="B5" s="7" t="str">
        <x:v>Adalimumab</x:v>
      </x:c>
      <x:c r="C5" s="7" t="str">
        <x:v>Axial spondyloarthritis</x:v>
      </x:c>
      <x:c r="D5" s="7" t="n">
        <x:v>24758</x:v>
      </x:c>
      <x:c r="E5" s="7" t="n">
        <x:v>49964</x:v>
      </x:c>
      <x:c r="F5" s="7" t="n">
        <x:v>94223</x:v>
      </x:c>
      <x:c r="G5" s="7" t="str">
        <x:v>False</x:v>
      </x:c>
      <x:c r="H5" s="7" t="str">
        <x:v>q2w maintenance approximation</x:v>
      </x:c>
      <x:c r="I5" s="7" t="str">
        <x:v>Modeled potential units; not observed sales or demand</x:v>
      </x:c>
    </x:row>
    <x:row r="6" ht="24" hidden="0" customHeight="1">
      <x:c r="A6" s="7" t="str">
        <x:v>Current evidence</x:v>
      </x:c>
      <x:c r="B6" s="7" t="str">
        <x:v>Adalimumab</x:v>
      </x:c>
      <x:c r="C6" s="7" t="str">
        <x:v>Inflammatory bowel disease</x:v>
      </x:c>
      <x:c r="D6" s="7" t="n">
        <x:v>6378</x:v>
      </x:c>
      <x:c r="E6" s="7" t="n">
        <x:v>12425</x:v>
      </x:c>
      <x:c r="F6" s="7" t="n">
        <x:v>22289</x:v>
      </x:c>
      <x:c r="G6" s="7" t="str">
        <x:v>False</x:v>
      </x:c>
      <x:c r="H6" s="7" t="str">
        <x:v>First-year induction plus maintenance approximation</x:v>
      </x:c>
      <x:c r="I6" s="7" t="str">
        <x:v>Modeled potential units; not observed sales or demand</x:v>
      </x:c>
    </x:row>
    <x:row r="7" ht="24" hidden="0" customHeight="1">
      <x:c r="A7" s="7" t="str">
        <x:v>Current evidence</x:v>
      </x:c>
      <x:c r="B7" s="7" t="str">
        <x:v>Adalimumab</x:v>
      </x:c>
      <x:c r="C7" s="7" t="str">
        <x:v>Uveitis and other</x:v>
      </x:c>
      <x:c r="D7" s="7" t="n">
        <x:v>3239</x:v>
      </x:c>
      <x:c r="E7" s="7" t="n">
        <x:v>7111</x:v>
      </x:c>
      <x:c r="F7" s="7" t="n">
        <x:v>14342</x:v>
      </x:c>
      <x:c r="G7" s="7" t="str">
        <x:v>False</x:v>
      </x:c>
      <x:c r="H7" s="7" t="str">
        <x:v>Residual indication approximation</x:v>
      </x:c>
      <x:c r="I7" s="7" t="str">
        <x:v>Modeled potential units; not observed sales or demand</x:v>
      </x:c>
    </x:row>
    <x:row r="8" ht="24" hidden="0" customHeight="1">
      <x:c r="A8" s="7" t="str">
        <x:v>Current evidence</x:v>
      </x:c>
      <x:c r="B8" s="7" t="str">
        <x:v>Secukinumab</x:v>
      </x:c>
      <x:c r="C8" s="7" t="str">
        <x:v>Plaque psoriasis</x:v>
      </x:c>
      <x:c r="D8" s="7" t="n">
        <x:v>245861</x:v>
      </x:c>
      <x:c r="E8" s="7" t="n">
        <x:v>417091</x:v>
      </x:c>
      <x:c r="F8" s="7" t="n">
        <x:v>683377</x:v>
      </x:c>
      <x:c r="G8" s="7" t="str">
        <x:v>False</x:v>
      </x:c>
      <x:c r="H8" s="7" t="str">
        <x:v>Five loading doses plus 300 mg monthly approximation</x:v>
      </x:c>
      <x:c r="I8" s="7" t="str">
        <x:v>Modeled potential units; not observed sales or demand</x:v>
      </x:c>
    </x:row>
    <x:row r="9" ht="24" hidden="0" customHeight="1">
      <x:c r="A9" s="7" t="str">
        <x:v>Current evidence</x:v>
      </x:c>
      <x:c r="B9" s="7" t="str">
        <x:v>Secukinumab</x:v>
      </x:c>
      <x:c r="C9" s="7" t="str">
        <x:v>Psoriatic arthritis</x:v>
      </x:c>
      <x:c r="D9" s="7" t="n">
        <x:v>44077</x:v>
      </x:c>
      <x:c r="E9" s="7" t="n">
        <x:v>77658</x:v>
      </x:c>
      <x:c r="F9" s="7" t="n">
        <x:v>131359</x:v>
      </x:c>
      <x:c r="G9" s="7" t="str">
        <x:v>False</x:v>
      </x:c>
      <x:c r="H9" s="7" t="str">
        <x:v>150 mg loading plus monthly approximation; some patients use 300 mg</x:v>
      </x:c>
      <x:c r="I9" s="7" t="str">
        <x:v>Modeled potential units; not observed sales or demand</x:v>
      </x:c>
    </x:row>
    <x:row r="10" ht="24" hidden="0" customHeight="1">
      <x:c r="A10" s="7" t="str">
        <x:v>Current evidence</x:v>
      </x:c>
      <x:c r="B10" s="7" t="str">
        <x:v>Secukinumab</x:v>
      </x:c>
      <x:c r="C10" s="7" t="str">
        <x:v>Axial spondyloarthritis</x:v>
      </x:c>
      <x:c r="D10" s="7" t="n">
        <x:v>26079</x:v>
      </x:c>
      <x:c r="E10" s="7" t="n">
        <x:v>52308</x:v>
      </x:c>
      <x:c r="F10" s="7" t="n">
        <x:v>98178</x:v>
      </x:c>
      <x:c r="G10" s="7" t="str">
        <x:v>False</x:v>
      </x:c>
      <x:c r="H10" s="7" t="str">
        <x:v>150 mg loading plus monthly approximation</x:v>
      </x:c>
      <x:c r="I10" s="7" t="str">
        <x:v>Modeled potential units; not observed sales or demand</x:v>
      </x:c>
    </x:row>
    <x:row r="11" ht="24" hidden="0" customHeight="1">
      <x:c r="A11" s="7" t="str">
        <x:v>Current evidence</x:v>
      </x:c>
      <x:c r="B11" s="7" t="str">
        <x:v>Bimekizumab</x:v>
      </x:c>
      <x:c r="C11" s="7" t="str">
        <x:v>Plaque psoriasis</x:v>
      </x:c>
      <x:c r="D11" s="7" t="n">
        <x:v>0</x:v>
      </x:c>
      <x:c r="E11" s="7" t="n">
        <x:v>0</x:v>
      </x:c>
      <x:c r="F11" s="7" t="n">
        <x:v>0</x:v>
      </x:c>
      <x:c r="G11" s="7" t="str">
        <x:v>True</x:v>
      </x:c>
      <x:c r="H11" s="7" t="str">
        <x:v>No Mexican public utilization anchor observed</x:v>
      </x:c>
      <x:c r="I11" s="7" t="str">
        <x:v>Modeled potential units; not observed sales or demand</x:v>
      </x:c>
    </x:row>
    <x:row r="12" ht="24" hidden="0" customHeight="1">
      <x:c r="A12" s="7" t="str">
        <x:v>Current evidence</x:v>
      </x:c>
      <x:c r="B12" s="7" t="str">
        <x:v>Bimekizumab</x:v>
      </x:c>
      <x:c r="C12" s="7" t="str">
        <x:v>Psoriatic arthritis</x:v>
      </x:c>
      <x:c r="D12" s="7" t="n">
        <x:v>0</x:v>
      </x:c>
      <x:c r="E12" s="7" t="n">
        <x:v>0</x:v>
      </x:c>
      <x:c r="F12" s="7" t="n">
        <x:v>0</x:v>
      </x:c>
      <x:c r="G12" s="7" t="str">
        <x:v>True</x:v>
      </x:c>
      <x:c r="H12" s="7" t="str">
        <x:v>No Mexican public utilization anchor observed</x:v>
      </x:c>
      <x:c r="I12" s="7" t="str">
        <x:v>Modeled potential units; not observed sales or demand</x:v>
      </x:c>
    </x:row>
    <x:row r="13" ht="24" hidden="0" customHeight="1">
      <x:c r="A13" s="7" t="str">
        <x:v>Current evidence</x:v>
      </x:c>
      <x:c r="B13" s="7" t="str">
        <x:v>Bimekizumab</x:v>
      </x:c>
      <x:c r="C13" s="7" t="str">
        <x:v>Axial spondyloarthritis</x:v>
      </x:c>
      <x:c r="D13" s="7" t="n">
        <x:v>0</x:v>
      </x:c>
      <x:c r="E13" s="7" t="n">
        <x:v>0</x:v>
      </x:c>
      <x:c r="F13" s="7" t="n">
        <x:v>0</x:v>
      </x:c>
      <x:c r="G13" s="7" t="str">
        <x:v>True</x:v>
      </x:c>
      <x:c r="H13" s="7" t="str">
        <x:v>No Mexican public utilization anchor observed</x:v>
      </x:c>
      <x:c r="I13" s="7" t="str">
        <x:v>Modeled potential units; not observed sales or demand</x:v>
      </x:c>
    </x:row>
    <x:row r="14" ht="24" hidden="0" customHeight="1">
      <x:c r="A14" s="7" t="str">
        <x:v>Launch scenario</x:v>
      </x:c>
      <x:c r="B14" s="7" t="str">
        <x:v>Adalimumab</x:v>
      </x:c>
      <x:c r="C14" s="7" t="str">
        <x:v>Rheumatoid arthritis</x:v>
      </x:c>
      <x:c r="D14" s="7" t="n">
        <x:v>235115</x:v>
      </x:c>
      <x:c r="E14" s="7" t="n">
        <x:v>370515</x:v>
      </x:c>
      <x:c r="F14" s="7" t="n">
        <x:v>562370</x:v>
      </x:c>
      <x:c r="G14" s="7" t="str">
        <x:v>False</x:v>
      </x:c>
      <x:c r="H14" s="7" t="str">
        <x:v>Same indication landscape</x:v>
      </x:c>
      <x:c r="I14" s="7" t="str">
        <x:v>Modeled potential units; not observed sales or demand</x:v>
      </x:c>
    </x:row>
    <x:row r="15" ht="24" hidden="0" customHeight="1">
      <x:c r="A15" s="7" t="str">
        <x:v>Launch scenario</x:v>
      </x:c>
      <x:c r="B15" s="7" t="str">
        <x:v>Adalimumab</x:v>
      </x:c>
      <x:c r="C15" s="7" t="str">
        <x:v>Plaque psoriasis</x:v>
      </x:c>
      <x:c r="D15" s="7" t="n">
        <x:v>83291</x:v>
      </x:c>
      <x:c r="E15" s="7" t="n">
        <x:v>146387</x:v>
      </x:c>
      <x:c r="F15" s="7" t="n">
        <x:v>247287</x:v>
      </x:c>
      <x:c r="G15" s="7" t="str">
        <x:v>False</x:v>
      </x:c>
      <x:c r="H15" s="7" t="str">
        <x:v>Small displacement by IL-17 entrants</x:v>
      </x:c>
      <x:c r="I15" s="7" t="str">
        <x:v>Modeled potential units; not observed sales or demand</x:v>
      </x:c>
    </x:row>
    <x:row r="16" ht="24" hidden="0" customHeight="1">
      <x:c r="A16" s="7" t="str">
        <x:v>Launch scenario</x:v>
      </x:c>
      <x:c r="B16" s="7" t="str">
        <x:v>Adalimumab</x:v>
      </x:c>
      <x:c r="C16" s="7" t="str">
        <x:v>Psoriatic arthritis</x:v>
      </x:c>
      <x:c r="D16" s="7" t="n">
        <x:v>42938</x:v>
      </x:c>
      <x:c r="E16" s="7" t="n">
        <x:v>75319</x:v>
      </x:c>
      <x:c r="F16" s="7" t="n">
        <x:v>126974</x:v>
      </x:c>
      <x:c r="G16" s="7" t="str">
        <x:v>False</x:v>
      </x:c>
      <x:c r="H16" s="7" t="str">
        <x:v>Small displacement by IL-17 entrants</x:v>
      </x:c>
      <x:c r="I16" s="7" t="str">
        <x:v>Modeled potential units; not observed sales or demand</x:v>
      </x:c>
    </x:row>
    <x:row r="17" ht="24" hidden="0" customHeight="1">
      <x:c r="A17" s="7" t="str">
        <x:v>Launch scenario</x:v>
      </x:c>
      <x:c r="B17" s="7" t="str">
        <x:v>Adalimumab</x:v>
      </x:c>
      <x:c r="C17" s="7" t="str">
        <x:v>Axial spondyloarthritis</x:v>
      </x:c>
      <x:c r="D17" s="7" t="n">
        <x:v>21784</x:v>
      </x:c>
      <x:c r="E17" s="7" t="n">
        <x:v>44247</x:v>
      </x:c>
      <x:c r="F17" s="7" t="n">
        <x:v>83798</x:v>
      </x:c>
      <x:c r="G17" s="7" t="str">
        <x:v>False</x:v>
      </x:c>
      <x:c r="H17" s="7" t="str">
        <x:v>Small displacement by IL-17 entrants</x:v>
      </x:c>
      <x:c r="I17" s="7" t="str">
        <x:v>Modeled potential units; not observed sales or demand</x:v>
      </x:c>
    </x:row>
    <x:row r="18" ht="24" hidden="0" customHeight="1">
      <x:c r="A18" s="7" t="str">
        <x:v>Launch scenario</x:v>
      </x:c>
      <x:c r="B18" s="7" t="str">
        <x:v>Adalimumab</x:v>
      </x:c>
      <x:c r="C18" s="7" t="str">
        <x:v>Inflammatory bowel disease</x:v>
      </x:c>
      <x:c r="D18" s="7" t="n">
        <x:v>6340</x:v>
      </x:c>
      <x:c r="E18" s="7" t="n">
        <x:v>12436</x:v>
      </x:c>
      <x:c r="F18" s="7" t="n">
        <x:v>22323</x:v>
      </x:c>
      <x:c r="G18" s="7" t="str">
        <x:v>False</x:v>
      </x:c>
      <x:c r="H18" s="7" t="str">
        <x:v>IL-17 competitors not assigned to IBD</x:v>
      </x:c>
      <x:c r="I18" s="7" t="str">
        <x:v>Modeled potential units; not observed sales or demand</x:v>
      </x:c>
    </x:row>
    <x:row r="19" ht="24" hidden="0" customHeight="1">
      <x:c r="A19" s="7" t="str">
        <x:v>Launch scenario</x:v>
      </x:c>
      <x:c r="B19" s="7" t="str">
        <x:v>Adalimumab</x:v>
      </x:c>
      <x:c r="C19" s="7" t="str">
        <x:v>Uveitis and other</x:v>
      </x:c>
      <x:c r="D19" s="7" t="n">
        <x:v>3220</x:v>
      </x:c>
      <x:c r="E19" s="7" t="n">
        <x:v>7107</x:v>
      </x:c>
      <x:c r="F19" s="7" t="n">
        <x:v>14328</x:v>
      </x:c>
      <x:c r="G19" s="7" t="str">
        <x:v>False</x:v>
      </x:c>
      <x:c r="H19" s="7" t="str">
        <x:v>Residual indication approximation</x:v>
      </x:c>
      <x:c r="I19" s="7" t="str">
        <x:v>Modeled potential units; not observed sales or demand</x:v>
      </x:c>
    </x:row>
    <x:row r="20" ht="24" hidden="0" customHeight="1">
      <x:c r="A20" s="7" t="str">
        <x:v>Launch scenario</x:v>
      </x:c>
      <x:c r="B20" s="7" t="str">
        <x:v>Secukinumab</x:v>
      </x:c>
      <x:c r="C20" s="7" t="str">
        <x:v>Plaque psoriasis</x:v>
      </x:c>
      <x:c r="D20" s="7" t="n">
        <x:v>222691</x:v>
      </x:c>
      <x:c r="E20" s="7" t="n">
        <x:v>377535</x:v>
      </x:c>
      <x:c r="F20" s="7" t="n">
        <x:v>613064</x:v>
      </x:c>
      <x:c r="G20" s="7" t="str">
        <x:v>False</x:v>
      </x:c>
      <x:c r="H20" s="7" t="str">
        <x:v>Potential displacement by bimekizumab</x:v>
      </x:c>
      <x:c r="I20" s="7" t="str">
        <x:v>Modeled potential units; not observed sales or demand</x:v>
      </x:c>
    </x:row>
    <x:row r="21" ht="24" hidden="0" customHeight="1">
      <x:c r="A21" s="7" t="str">
        <x:v>Launch scenario</x:v>
      </x:c>
      <x:c r="B21" s="7" t="str">
        <x:v>Secukinumab</x:v>
      </x:c>
      <x:c r="C21" s="7" t="str">
        <x:v>Psoriatic arthritis</x:v>
      </x:c>
      <x:c r="D21" s="7" t="n">
        <x:v>38201</x:v>
      </x:c>
      <x:c r="E21" s="7" t="n">
        <x:v>67260</x:v>
      </x:c>
      <x:c r="F21" s="7" t="n">
        <x:v>114056</x:v>
      </x:c>
      <x:c r="G21" s="7" t="str">
        <x:v>False</x:v>
      </x:c>
      <x:c r="H21" s="7" t="str">
        <x:v>Potential displacement by bimekizumab</x:v>
      </x:c>
      <x:c r="I21" s="7" t="str">
        <x:v>Modeled potential units; not observed sales or demand</x:v>
      </x:c>
    </x:row>
    <x:row r="22" ht="24" hidden="0" customHeight="1">
      <x:c r="A22" s="7" t="str">
        <x:v>Launch scenario</x:v>
      </x:c>
      <x:c r="B22" s="7" t="str">
        <x:v>Secukinumab</x:v>
      </x:c>
      <x:c r="C22" s="7" t="str">
        <x:v>Axial spondyloarthritis</x:v>
      </x:c>
      <x:c r="D22" s="7" t="n">
        <x:v>22982</x:v>
      </x:c>
      <x:c r="E22" s="7" t="n">
        <x:v>46106</x:v>
      </x:c>
      <x:c r="F22" s="7" t="n">
        <x:v>86536</x:v>
      </x:c>
      <x:c r="G22" s="7" t="str">
        <x:v>False</x:v>
      </x:c>
      <x:c r="H22" s="7" t="str">
        <x:v>Potential displacement by bimekizumab</x:v>
      </x:c>
      <x:c r="I22" s="7" t="str">
        <x:v>Modeled potential units; not observed sales or demand</x:v>
      </x:c>
    </x:row>
    <x:row r="23" ht="24" hidden="0" customHeight="1">
      <x:c r="A23" s="7" t="str">
        <x:v>Launch scenario</x:v>
      </x:c>
      <x:c r="B23" s="7" t="str">
        <x:v>Bimekizumab</x:v>
      </x:c>
      <x:c r="C23" s="7" t="str">
        <x:v>Plaque psoriasis</x:v>
      </x:c>
      <x:c r="D23" s="7" t="n">
        <x:v>21121</x:v>
      </x:c>
      <x:c r="E23" s="7" t="n">
        <x:v>43464</x:v>
      </x:c>
      <x:c r="F23" s="7" t="n">
        <x:v>81617</x:v>
      </x:c>
      <x:c r="G23" s="7" t="str">
        <x:v>False</x:v>
      </x:c>
      <x:c r="H23" s="7" t="str">
        <x:v>Launch scenario; not observed Mexican public access</x:v>
      </x:c>
      <x:c r="I23" s="7" t="str">
        <x:v>Modeled potential units; not observed sales or demand</x:v>
      </x:c>
    </x:row>
    <x:row r="24" ht="24" hidden="0" customHeight="1">
      <x:c r="A24" s="7" t="str">
        <x:v>Launch scenario</x:v>
      </x:c>
      <x:c r="B24" s="7" t="str">
        <x:v>Bimekizumab</x:v>
      </x:c>
      <x:c r="C24" s="7" t="str">
        <x:v>Psoriatic arthritis</x:v>
      </x:c>
      <x:c r="D24" s="7" t="n">
        <x:v>6034</x:v>
      </x:c>
      <x:c r="E24" s="7" t="n">
        <x:v>12281</x:v>
      </x:c>
      <x:c r="F24" s="7" t="n">
        <x:v>23340</x:v>
      </x:c>
      <x:c r="G24" s="7" t="str">
        <x:v>False</x:v>
      </x:c>
      <x:c r="H24" s="7" t="str">
        <x:v>Launch scenario; not observed Mexican public access</x:v>
      </x:c>
      <x:c r="I24" s="7" t="str">
        <x:v>Modeled potential units; not observed sales or demand</x:v>
      </x:c>
    </x:row>
    <x:row r="25" ht="24" hidden="0" customHeight="1">
      <x:c r="A25" s="7" t="str">
        <x:v>Launch scenario</x:v>
      </x:c>
      <x:c r="B25" s="7" t="str">
        <x:v>Bimekizumab</x:v>
      </x:c>
      <x:c r="C25" s="7" t="str">
        <x:v>Axial spondyloarthritis</x:v>
      </x:c>
      <x:c r="D25" s="7" t="n">
        <x:v>3176</x:v>
      </x:c>
      <x:c r="E25" s="7" t="n">
        <x:v>7177</x:v>
      </x:c>
      <x:c r="F25" s="7" t="n">
        <x:v>15003</x:v>
      </x:c>
      <x:c r="G25" s="7" t="str">
        <x:v>False</x:v>
      </x:c>
      <x:c r="H25" s="7" t="str">
        <x:v>Launch scenario; not observed Mexican public access</x:v>
      </x:c>
      <x:c r="I25" s="7" t="str">
        <x:v>Modeled potential units; not observed sales or demand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780000686645508" hidden="0" customWidth="1"/>
    <x:col min="2" max="2" width="21.559999465942383" hidden="0" customWidth="1"/>
    <x:col min="3" max="3" width="1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34" hidden="0" customWidth="1"/>
    <x:col min="10" max="10" width="20.670000076293945" hidden="0" customWidth="1"/>
    <x:col min="11" max="11" width="34" hidden="0" customWidth="1"/>
    <x:col min="12" max="12" width="34" hidden="0" customWidth="1"/>
    <x:col min="13" max="13" width="18.889999389648438" hidden="0" customWidth="1"/>
    <x:col min="14" max="14" width="12.220000267028809" hidden="0" customWidth="1"/>
    <x:col min="15" max="15" width="11.5600004196167" hidden="0" customWidth="1"/>
    <x:col min="16" max="16" width="13" hidden="0" customWidth="1"/>
    <x:col min="17" max="17" width="12.220000267028809" hidden="0" customWidth="1"/>
    <x:col min="18" max="18" width="11.220000267028809" hidden="0" customWidth="1"/>
    <x:col min="19" max="19" width="12.670000076293945" hidden="0" customWidth="1"/>
    <x:col min="20" max="20" width="11.890000343322754" hidden="0" customWidth="1"/>
    <x:col min="21" max="21" width="11" hidden="0" customWidth="1"/>
    <x:col min="22" max="22" width="11" hidden="0" customWidth="1"/>
    <x:col min="23" max="23" width="11" hidden="0" customWidth="1"/>
    <x:col min="24" max="24" width="20.440000534057617" hidden="0" customWidth="1"/>
    <x:col min="25" max="25" width="21.889999389648438" hidden="0" customWidth="1"/>
    <x:col min="26" max="26" width="21.110000610351562" hidden="0" customWidth="1"/>
    <x:col min="27" max="27" width="11.779999732971191" hidden="0" customWidth="1"/>
    <x:col min="28" max="28" width="11" hidden="0" customWidth="1"/>
    <x:col min="29" max="29" width="15" hidden="0" customWidth="1"/>
    <x:col min="30" max="30" width="16.440000534057617" hidden="0" customWidth="1"/>
    <x:col min="31" max="31" width="15.670000076293945" hidden="0" customWidth="1"/>
    <x:col min="32" max="32" width="16.670000076293945" hidden="0" customWidth="1"/>
    <x:col min="33" max="33" width="19.889999389648438" hidden="0" customWidth="1"/>
    <x:col min="34" max="34" width="11" hidden="0" customWidth="1"/>
    <x:col min="35" max="35" width="11" hidden="0" customWidth="1"/>
    <x:col min="36" max="36" width="16.889999389648438" hidden="0" customWidth="1"/>
  </x:cols>
  <x:sheetData>
    <x:row r="1" ht="15" hidden="0" customHeight="1">
      <x:c r="A1" s="6" t="str">
        <x:v>domain</x:v>
      </x:c>
      <x:c r="B1" s="6" t="str">
        <x:v>source_file</x:v>
      </x:c>
      <x:c r="C1" s="6" t="str">
        <x:v>parameter</x:v>
      </x:c>
      <x:c r="D1" s="6" t="str">
        <x:v>low</x:v>
      </x:c>
      <x:c r="E1" s="6" t="str">
        <x:v>mode</x:v>
      </x:c>
      <x:c r="F1" s="6" t="str">
        <x:v>high</x:v>
      </x:c>
      <x:c r="G1" s="6" t="str">
        <x:v>distribution</x:v>
      </x:c>
      <x:c r="H1" s="6" t="str">
        <x:v>stage</x:v>
      </x:c>
      <x:c r="I1" s="6" t="str">
        <x:v>model_role</x:v>
      </x:c>
      <x:c r="J1" s="6" t="str">
        <x:v>evidence_class</x:v>
      </x:c>
      <x:c r="K1" s="6" t="str">
        <x:v>basis</x:v>
      </x:c>
      <x:c r="L1" s="6" t="str">
        <x:v>source_url</x:v>
      </x:c>
      <x:c r="M1" s="6" t="str">
        <x:v>indication</x:v>
      </x:c>
      <x:c r="N1" s="6" t="str">
        <x:v>population_base</x:v>
      </x:c>
      <x:c r="O1" s="6" t="str">
        <x:v>prevalence_low</x:v>
      </x:c>
      <x:c r="P1" s="6" t="str">
        <x:v>prevalence_mode</x:v>
      </x:c>
      <x:c r="Q1" s="6" t="str">
        <x:v>prevalence_high</x:v>
      </x:c>
      <x:c r="R1" s="6" t="str">
        <x:v>diagnosed_low</x:v>
      </x:c>
      <x:c r="S1" s="6" t="str">
        <x:v>diagnosed_mode</x:v>
      </x:c>
      <x:c r="T1" s="6" t="str">
        <x:v>diagnosed_high</x:v>
      </x:c>
      <x:c r="U1" s="6" t="str">
        <x:v>eligible_low</x:v>
      </x:c>
      <x:c r="V1" s="6" t="str">
        <x:v>eligible_mode</x:v>
      </x:c>
      <x:c r="W1" s="6" t="str">
        <x:v>eligible_high</x:v>
      </x:c>
      <x:c r="X1" s="6" t="str">
        <x:v>public_biologic_access_low</x:v>
      </x:c>
      <x:c r="Y1" s="6" t="str">
        <x:v>public_biologic_access_mode</x:v>
      </x:c>
      <x:c r="Z1" s="6" t="str">
        <x:v>public_biologic_access_high</x:v>
      </x:c>
      <x:c r="AA1" s="6" t="str">
        <x:v>scenario</x:v>
      </x:c>
      <x:c r="AB1" s="6" t="str">
        <x:v>molecule</x:v>
      </x:c>
      <x:c r="AC1" s="6" t="str">
        <x:v>molecule_share_low</x:v>
      </x:c>
      <x:c r="AD1" s="6" t="str">
        <x:v>molecule_share_mode</x:v>
      </x:c>
      <x:c r="AE1" s="6" t="str">
        <x:v>molecule_share_high</x:v>
      </x:c>
      <x:c r="AF1" s="6" t="str">
        <x:v>units_per_patient_year</x:v>
      </x:c>
      <x:c r="AG1" s="6" t="str">
        <x:v>unit_definition</x:v>
      </x:c>
      <x:c r="AH1" s="6" t="str">
        <x:v>status</x:v>
      </x:c>
      <x:c r="AI1" s="6" t="str">
        <x:v>share_center</x:v>
      </x:c>
      <x:c r="AJ1" s="6" t="str">
        <x:v>dirichlet_concentration</x:v>
      </x:c>
    </x:row>
    <x:row r="2" ht="24" hidden="0" customHeight="1">
      <x:c r="A2" s="7" t="str">
        <x:v>HS access funnel</x:v>
      </x:c>
      <x:c r="B2" s="7" t="str">
        <x:v>access_funnel_priors.csv</x:v>
      </x:c>
      <x:c r="C2" s="7" t="str">
        <x:v>active_disease</x:v>
      </x:c>
      <x:c r="D2" s="7" t="n">
        <x:v>0.7</x:v>
      </x:c>
      <x:c r="E2" s="7" t="n">
        <x:v>0.85</x:v>
      </x:c>
      <x:c r="F2" s="7" t="n">
        <x:v>0.95</x:v>
      </x:c>
      <x:c r="G2" s="7" t="str">
        <x:v>beta_pert</x:v>
      </x:c>
      <x:c r="H2" s="7" t="str">
        <x:v>eligibility</x:v>
      </x:c>
      <x:c r="I2" s="7" t="str">
        <x:v>share of diagnosed moderate/severe with active disease requiring escalation</x:v>
      </x:c>
      <x:c r="J2" s="7" t="str">
        <x:v>transported assumption</x:v>
      </x:c>
      <x:c r="K2" s="7" t="str">
        <x:v>Clinical activity among a diagnosed moderate/severe pool; deliberately broad</x:v>
      </x:c>
      <x:c r="L2" s="7" t="str">
        <x:v>https://doi.org/10.1111/jdv.20472</x:v>
      </x:c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</x:row>
    <x:row r="3" ht="24" hidden="0" customHeight="1">
      <x:c r="A3" s="7" t="str">
        <x:v>HS access funnel</x:v>
      </x:c>
      <x:c r="B3" s="7" t="str">
        <x:v>access_funnel_priors.csv</x:v>
      </x:c>
      <x:c r="C3" s="7" t="str">
        <x:v>failed_conventional</x:v>
      </x:c>
      <x:c r="D3" s="7" t="n">
        <x:v>0.4</x:v>
      </x:c>
      <x:c r="E3" s="7" t="n">
        <x:v>0.6</x:v>
      </x:c>
      <x:c r="F3" s="7" t="n">
        <x:v>0.8</x:v>
      </x:c>
      <x:c r="G3" s="7" t="str">
        <x:v>beta_pert</x:v>
      </x:c>
      <x:c r="H3" s="7" t="str">
        <x:v>eligibility</x:v>
      </x:c>
      <x:c r="I3" s="7" t="str">
        <x:v>share with inadequate response/intolerance to conventional systemic therapy</x:v>
      </x:c>
      <x:c r="J3" s="7" t="str">
        <x:v>transported assumption</x:v>
      </x:c>
      <x:c r="K3" s="7" t="str">
        <x:v>Guidelines require inadequate response; local frequency is not observed</x:v>
      </x:c>
      <x:c r="L3" s="7" t="str">
        <x:v>https://doi.org/10.1111/jdv.20472</x:v>
      </x:c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</x:row>
    <x:row r="4" ht="24" hidden="0" customHeight="1">
      <x:c r="A4" s="7" t="str">
        <x:v>HS access funnel</x:v>
      </x:c>
      <x:c r="B4" s="7" t="str">
        <x:v>access_funnel_priors.csv</x:v>
      </x:c>
      <x:c r="C4" s="7" t="str">
        <x:v>clinical_compatibility</x:v>
      </x:c>
      <x:c r="D4" s="7" t="n">
        <x:v>0.85</x:v>
      </x:c>
      <x:c r="E4" s="7" t="n">
        <x:v>0.93</x:v>
      </x:c>
      <x:c r="F4" s="7" t="n">
        <x:v>0.98</x:v>
      </x:c>
      <x:c r="G4" s="7" t="str">
        <x:v>beta_pert</x:v>
      </x:c>
      <x:c r="H4" s="7" t="str">
        <x:v>eligibility</x:v>
      </x:c>
      <x:c r="I4" s="7" t="str">
        <x:v>share without contraindication and meeting age/label criteria</x:v>
      </x:c>
      <x:c r="J4" s="7" t="str">
        <x:v>expert assumption</x:v>
      </x:c>
      <x:c r="K4" s="7" t="str">
        <x:v>Captures infection/contraindication/age exclusions</x:v>
      </x:c>
      <x:c r="L4" s="7" t="str">
        <x:v>https://www.accessdata.fda.gov/drugsatfda_docs/label/2025/125057s424lbl.pdf</x:v>
      </x:c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</x:row>
    <x:row r="5" ht="24" hidden="0" customHeight="1">
      <x:c r="A5" s="7" t="str">
        <x:v>HS access funnel</x:v>
      </x:c>
      <x:c r="B5" s="7" t="str">
        <x:v>access_funnel_priors.csv</x:v>
      </x:c>
      <x:c r="C5" s="7" t="str">
        <x:v>public_sector_share</x:v>
      </x:c>
      <x:c r="D5" s="7" t="n">
        <x:v>0.65</x:v>
      </x:c>
      <x:c r="E5" s="7" t="n">
        <x:v>0.75</x:v>
      </x:c>
      <x:c r="F5" s="7" t="n">
        <x:v>0.85</x:v>
      </x:c>
      <x:c r="G5" s="7" t="str">
        <x:v>beta_pert</x:v>
      </x:c>
      <x:c r="H5" s="7" t="str">
        <x:v>access</x:v>
      </x:c>
      <x:c r="I5" s="7" t="str">
        <x:v>share assigned to a public coverage pathway</x:v>
      </x:c>
      <x:c r="J5" s="7" t="str">
        <x:v>official anchor</x:v>
      </x:c>
      <x:c r="K5" s="7" t="str">
        <x:v>Centered near 2020 census affiliation; affiliation is not effective access</x:v>
      </x:c>
      <x:c r="L5" s="7" t="str">
        <x:v>https://www.inegi.org.mx/temas/derechohabiencia/</x:v>
      </x:c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  <x:c r="AJ5" s="7"/>
    </x:row>
    <x:row r="6" ht="24" hidden="0" customHeight="1">
      <x:c r="A6" s="7" t="str">
        <x:v>HS access funnel</x:v>
      </x:c>
      <x:c r="B6" s="7" t="str">
        <x:v>access_funnel_priors.csv</x:v>
      </x:c>
      <x:c r="C6" s="7" t="str">
        <x:v>specialist_reach</x:v>
      </x:c>
      <x:c r="D6" s="7" t="n">
        <x:v>0.1</x:v>
      </x:c>
      <x:c r="E6" s="7" t="n">
        <x:v>0.25</x:v>
      </x:c>
      <x:c r="F6" s="7" t="n">
        <x:v>0.45</x:v>
      </x:c>
      <x:c r="G6" s="7" t="str">
        <x:v>beta_pert</x:v>
      </x:c>
      <x:c r="H6" s="7" t="str">
        <x:v>access</x:v>
      </x:c>
      <x:c r="I6" s="7" t="str">
        <x:v>share reaching dermatology capable of biologic evaluation</x:v>
      </x:c>
      <x:c r="J6" s="7" t="str">
        <x:v>expert assumption</x:v>
      </x:c>
      <x:c r="K6" s="7" t="str">
        <x:v>No national HS specialist-access series identified; wide prior</x:v>
      </x:c>
      <x:c r="L6" s="7" t="str">
        <x:v>nan</x:v>
      </x:c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</x:row>
    <x:row r="7" ht="36" hidden="0" customHeight="1">
      <x:c r="A7" s="7" t="str">
        <x:v>HS access funnel</x:v>
      </x:c>
      <x:c r="B7" s="7" t="str">
        <x:v>access_funnel_priors.csv</x:v>
      </x:c>
      <x:c r="C7" s="7" t="str">
        <x:v>authorization_and_start</x:v>
      </x:c>
      <x:c r="D7" s="7" t="n">
        <x:v>0.1</x:v>
      </x:c>
      <x:c r="E7" s="7" t="n">
        <x:v>0.25</x:v>
      </x:c>
      <x:c r="F7" s="7" t="n">
        <x:v>0.45</x:v>
      </x:c>
      <x:c r="G7" s="7" t="str">
        <x:v>beta_pert</x:v>
      </x:c>
      <x:c r="H7" s="7" t="str">
        <x:v>access</x:v>
      </x:c>
      <x:c r="I7" s="7" t="str">
        <x:v>share prescribed/authorized/started conditional on specialist evaluation</x:v>
      </x:c>
      <x:c r="J7" s="7" t="str">
        <x:v>analogue-informed</x:v>
      </x:c>
      <x:c r="K7" s="7" t="str">
        <x:v>Bounded below treated-cohort biologic use in Brazil/Chile psoriasis because this is a public HS pathway</x:v>
      </x:c>
      <x:c r="L7" s="7" t="str">
        <x:v>https://pubmed.ncbi.nlm.nih.gov/36653920/</x:v>
      </x:c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  <x:c r="AE7" s="7"/>
      <x:c r="AF7" s="7"/>
      <x:c r="AG7" s="7"/>
      <x:c r="AH7" s="7"/>
      <x:c r="AI7" s="7"/>
      <x:c r="AJ7" s="7"/>
    </x:row>
    <x:row r="8" ht="24" hidden="0" customHeight="1">
      <x:c r="A8" s="7" t="str">
        <x:v>HS access funnel</x:v>
      </x:c>
      <x:c r="B8" s="7" t="str">
        <x:v>access_funnel_priors.csv</x:v>
      </x:c>
      <x:c r="C8" s="7" t="str">
        <x:v>year1_persistence</x:v>
      </x:c>
      <x:c r="D8" s="7" t="n">
        <x:v>0.45</x:v>
      </x:c>
      <x:c r="E8" s="7" t="n">
        <x:v>0.65</x:v>
      </x:c>
      <x:c r="F8" s="7" t="n">
        <x:v>0.8</x:v>
      </x:c>
      <x:c r="G8" s="7" t="str">
        <x:v>beta_pert</x:v>
      </x:c>
      <x:c r="H8" s="7" t="str">
        <x:v>treatment</x:v>
      </x:c>
      <x:c r="I8" s="7" t="str">
        <x:v>share remaining on biologic as a patient-year equivalent</x:v>
      </x:c>
      <x:c r="J8" s="7" t="str">
        <x:v>transported assumption</x:v>
      </x:c>
      <x:c r="K8" s="7" t="str">
        <x:v>Persistence proxy; local public HS persistence not observed</x:v>
      </x:c>
      <x:c r="L8" s="7" t="str">
        <x:v>nan</x:v>
      </x:c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</x:row>
    <x:row r="9" ht="36" hidden="0" customHeight="1">
      <x:c r="A9" s="7" t="str">
        <x:v>Competing indication pool</x:v>
      </x:c>
      <x:c r="B9" s="7" t="str">
        <x:v>competing_indication_priors.csv</x:v>
      </x:c>
      <x:c r="C9" s="7"/>
      <x:c r="D9" s="7"/>
      <x:c r="E9" s="7"/>
      <x:c r="F9" s="7"/>
      <x:c r="G9" s="7"/>
      <x:c r="H9" s="7"/>
      <x:c r="I9" s="7"/>
      <x:c r="J9" s="7" t="str">
        <x:v>Mexico plus assumption</x:v>
      </x:c>
      <x:c r="K9" s="7" t="str">
        <x:v>Mexico prevalence centered at 1.6%; access centered on 16.2% biologic use in a specialist sample, not population prevalence</x:v>
      </x:c>
      <x:c r="L9" s="7" t="str">
        <x:v>https://pubmed.ncbi.nlm.nih.gov/25710855/</x:v>
      </x:c>
      <x:c r="M9" s="7" t="str">
        <x:v>Rheumatoid arthritis</x:v>
      </x:c>
      <x:c r="N9" s="7" t="str">
        <x:v>adult</x:v>
      </x:c>
      <x:c r="O9" s="7" t="n">
        <x:v>0.012</x:v>
      </x:c>
      <x:c r="P9" s="7" t="n">
        <x:v>0.016</x:v>
      </x:c>
      <x:c r="Q9" s="7" t="n">
        <x:v>0.022</x:v>
      </x:c>
      <x:c r="R9" s="7" t="n">
        <x:v>0.55</x:v>
      </x:c>
      <x:c r="S9" s="7" t="n">
        <x:v>0.7</x:v>
      </x:c>
      <x:c r="T9" s="7" t="n">
        <x:v>0.85</x:v>
      </x:c>
      <x:c r="U9" s="7" t="n">
        <x:v>0.2</x:v>
      </x:c>
      <x:c r="V9" s="7" t="n">
        <x:v>0.35</x:v>
      </x:c>
      <x:c r="W9" s="7" t="n">
        <x:v>0.5</x:v>
      </x:c>
      <x:c r="X9" s="7" t="n">
        <x:v>0.08</x:v>
      </x:c>
      <x:c r="Y9" s="7" t="n">
        <x:v>0.16</x:v>
      </x:c>
      <x:c r="Z9" s="7" t="n">
        <x:v>0.25</x:v>
      </x:c>
      <x:c r="AA9" s="7"/>
      <x:c r="AB9" s="7"/>
      <x:c r="AC9" s="7"/>
      <x:c r="AD9" s="7"/>
      <x:c r="AE9" s="7"/>
      <x:c r="AF9" s="7"/>
      <x:c r="AG9" s="7"/>
      <x:c r="AH9" s="7"/>
      <x:c r="AI9" s="7"/>
      <x:c r="AJ9" s="7"/>
    </x:row>
    <x:row r="10" ht="36" hidden="0" customHeight="1">
      <x:c r="A10" s="7" t="str">
        <x:v>Competing indication pool</x:v>
      </x:c>
      <x:c r="B10" s="7" t="str">
        <x:v>competing_indication_priors.csv</x:v>
      </x:c>
      <x:c r="C10" s="7"/>
      <x:c r="D10" s="7"/>
      <x:c r="E10" s="7"/>
      <x:c r="F10" s="7"/>
      <x:c r="G10" s="7"/>
      <x:c r="H10" s="7"/>
      <x:c r="I10" s="7"/>
      <x:c r="J10" s="7" t="str">
        <x:v>Latin America plus assumption</x:v>
      </x:c>
      <x:c r="K10" s="7" t="str">
        <x:v>Population prevalence uncertain; moderate/severe and access priors are broad; LA treated cohorts reported 27%-37% biologic use</x:v>
      </x:c>
      <x:c r="L10" s="7" t="str">
        <x:v>https://pubmed.ncbi.nlm.nih.gov/36653920/</x:v>
      </x:c>
      <x:c r="M10" s="7" t="str">
        <x:v>Plaque psoriasis</x:v>
      </x:c>
      <x:c r="N10" s="7" t="str">
        <x:v>adult</x:v>
      </x:c>
      <x:c r="O10" s="7" t="n">
        <x:v>0.008</x:v>
      </x:c>
      <x:c r="P10" s="7" t="n">
        <x:v>0.015</x:v>
      </x:c>
      <x:c r="Q10" s="7" t="n">
        <x:v>0.025</x:v>
      </x:c>
      <x:c r="R10" s="7" t="n">
        <x:v>0.4</x:v>
      </x:c>
      <x:c r="S10" s="7" t="n">
        <x:v>0.6</x:v>
      </x:c>
      <x:c r="T10" s="7" t="n">
        <x:v>0.8</x:v>
      </x:c>
      <x:c r="U10" s="7" t="n">
        <x:v>0.15</x:v>
      </x:c>
      <x:c r="V10" s="7" t="n">
        <x:v>0.22</x:v>
      </x:c>
      <x:c r="W10" s="7" t="n">
        <x:v>0.3</x:v>
      </x:c>
      <x:c r="X10" s="7" t="n">
        <x:v>0.08</x:v>
      </x:c>
      <x:c r="Y10" s="7" t="n">
        <x:v>0.18</x:v>
      </x:c>
      <x:c r="Z10" s="7" t="n">
        <x:v>0.3</x:v>
      </x:c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</x:row>
    <x:row r="11" ht="36" hidden="0" customHeight="1">
      <x:c r="A11" s="7" t="str">
        <x:v>Competing indication pool</x:v>
      </x:c>
      <x:c r="B11" s="7" t="str">
        <x:v>competing_indication_priors.csv</x:v>
      </x:c>
      <x:c r="C11" s="7"/>
      <x:c r="D11" s="7"/>
      <x:c r="E11" s="7"/>
      <x:c r="F11" s="7"/>
      <x:c r="G11" s="7"/>
      <x:c r="H11" s="7"/>
      <x:c r="I11" s="7"/>
      <x:c r="J11" s="7" t="str">
        <x:v>transported assumption</x:v>
      </x:c>
      <x:c r="K11" s="7" t="str">
        <x:v>Direct Mexican population estimate not identified in bounded search; centered conservatively below psoriasis</x:v>
      </x:c>
      <x:c r="L11" s="7" t="str">
        <x:v>https://pubmed.ncbi.nlm.nih.gov/33608878/</x:v>
      </x:c>
      <x:c r="M11" s="7" t="str">
        <x:v>Psoriatic arthritis</x:v>
      </x:c>
      <x:c r="N11" s="7" t="str">
        <x:v>adult</x:v>
      </x:c>
      <x:c r="O11" s="7" t="n">
        <x:v>0.0015</x:v>
      </x:c>
      <x:c r="P11" s="7" t="n">
        <x:v>0.003</x:v>
      </x:c>
      <x:c r="Q11" s="7" t="n">
        <x:v>0.005</x:v>
      </x:c>
      <x:c r="R11" s="7" t="n">
        <x:v>0.4</x:v>
      </x:c>
      <x:c r="S11" s="7" t="n">
        <x:v>0.6</x:v>
      </x:c>
      <x:c r="T11" s="7" t="n">
        <x:v>0.8</x:v>
      </x:c>
      <x:c r="U11" s="7" t="n">
        <x:v>0.25</x:v>
      </x:c>
      <x:c r="V11" s="7" t="n">
        <x:v>0.45</x:v>
      </x:c>
      <x:c r="W11" s="7" t="n">
        <x:v>0.65</x:v>
      </x:c>
      <x:c r="X11" s="7" t="n">
        <x:v>0.08</x:v>
      </x:c>
      <x:c r="Y11" s="7" t="n">
        <x:v>0.18</x:v>
      </x:c>
      <x:c r="Z11" s="7" t="n">
        <x:v>0.3</x:v>
      </x:c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</x:row>
    <x:row r="12" ht="24" hidden="0" customHeight="1">
      <x:c r="A12" s="7" t="str">
        <x:v>Competing indication pool</x:v>
      </x:c>
      <x:c r="B12" s="7" t="str">
        <x:v>competing_indication_priors.csv</x:v>
      </x:c>
      <x:c r="C12" s="7"/>
      <x:c r="D12" s="7"/>
      <x:c r="E12" s="7"/>
      <x:c r="F12" s="7"/>
      <x:c r="G12" s="7"/>
      <x:c r="H12" s="7"/>
      <x:c r="I12" s="7"/>
      <x:c r="J12" s="7" t="str">
        <x:v>transported assumption</x:v>
      </x:c>
      <x:c r="K12" s="7" t="str">
        <x:v>Broad prior reflecting diagnosis and access uncertainty</x:v>
      </x:c>
      <x:c r="L12" s="7" t="str">
        <x:v>https://www.imss.gob.mx/sites/all/statics/guiasclinicas/356GER.pdf</x:v>
      </x:c>
      <x:c r="M12" s="7" t="str">
        <x:v>Axial spondyloarthritis</x:v>
      </x:c>
      <x:c r="N12" s="7" t="str">
        <x:v>adult</x:v>
      </x:c>
      <x:c r="O12" s="7" t="n">
        <x:v>0.001</x:v>
      </x:c>
      <x:c r="P12" s="7" t="n">
        <x:v>0.003</x:v>
      </x:c>
      <x:c r="Q12" s="7" t="n">
        <x:v>0.006</x:v>
      </x:c>
      <x:c r="R12" s="7" t="n">
        <x:v>0.25</x:v>
      </x:c>
      <x:c r="S12" s="7" t="n">
        <x:v>0.45</x:v>
      </x:c>
      <x:c r="T12" s="7" t="n">
        <x:v>0.65</x:v>
      </x:c>
      <x:c r="U12" s="7" t="n">
        <x:v>0.3</x:v>
      </x:c>
      <x:c r="V12" s="7" t="n">
        <x:v>0.5</x:v>
      </x:c>
      <x:c r="W12" s="7" t="n">
        <x:v>0.7</x:v>
      </x:c>
      <x:c r="X12" s="7" t="n">
        <x:v>0.05</x:v>
      </x:c>
      <x:c r="Y12" s="7" t="n">
        <x:v>0.12</x:v>
      </x:c>
      <x:c r="Z12" s="7" t="n">
        <x:v>0.25</x:v>
      </x:c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</x:row>
    <x:row r="13" ht="36" hidden="0" customHeight="1">
      <x:c r="A13" s="7" t="str">
        <x:v>Competing indication pool</x:v>
      </x:c>
      <x:c r="B13" s="7" t="str">
        <x:v>competing_indication_priors.csv</x:v>
      </x:c>
      <x:c r="C13" s="7"/>
      <x:c r="D13" s="7"/>
      <x:c r="E13" s="7"/>
      <x:c r="F13" s="7"/>
      <x:c r="G13" s="7"/>
      <x:c r="H13" s="7"/>
      <x:c r="I13" s="7"/>
      <x:c r="J13" s="7" t="str">
        <x:v>Mexico plus assumption</x:v>
      </x:c>
      <x:c r="K13" s="7" t="str">
        <x:v>Mexican nationwide clinical evidence with low regional biologic penetration; treated prevalence is not general-population prevalence</x:v>
      </x:c>
      <x:c r="L13" s="7" t="str">
        <x:v>https://pubmed.ncbi.nlm.nih.gov/31277162/</x:v>
      </x:c>
      <x:c r="M13" s="7" t="str">
        <x:v>Inflammatory bowel disease</x:v>
      </x:c>
      <x:c r="N13" s="7" t="str">
        <x:v>adult</x:v>
      </x:c>
      <x:c r="O13" s="7" t="n">
        <x:v>0.0006</x:v>
      </x:c>
      <x:c r="P13" s="7" t="n">
        <x:v>0.0009</x:v>
      </x:c>
      <x:c r="Q13" s="7" t="n">
        <x:v>0.0014</x:v>
      </x:c>
      <x:c r="R13" s="7" t="n">
        <x:v>0.7</x:v>
      </x:c>
      <x:c r="S13" s="7" t="n">
        <x:v>0.85</x:v>
      </x:c>
      <x:c r="T13" s="7" t="n">
        <x:v>0.95</x:v>
      </x:c>
      <x:c r="U13" s="7" t="n">
        <x:v>0.15</x:v>
      </x:c>
      <x:c r="V13" s="7" t="n">
        <x:v>0.3</x:v>
      </x:c>
      <x:c r="W13" s="7" t="n">
        <x:v>0.45</x:v>
      </x:c>
      <x:c r="X13" s="7" t="n">
        <x:v>0.015</x:v>
      </x:c>
      <x:c r="Y13" s="7" t="n">
        <x:v>0.05</x:v>
      </x:c>
      <x:c r="Z13" s="7" t="n">
        <x:v>0.12</x:v>
      </x:c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</x:row>
    <x:row r="14" ht="24" hidden="0" customHeight="1">
      <x:c r="A14" s="7" t="str">
        <x:v>Competing indication pool</x:v>
      </x:c>
      <x:c r="B14" s="7" t="str">
        <x:v>competing_indication_priors.csv</x:v>
      </x:c>
      <x:c r="C14" s="7"/>
      <x:c r="D14" s="7"/>
      <x:c r="E14" s="7"/>
      <x:c r="F14" s="7"/>
      <x:c r="G14" s="7"/>
      <x:c r="H14" s="7"/>
      <x:c r="I14" s="7"/>
      <x:c r="J14" s="7" t="str">
        <x:v>expert assumption</x:v>
      </x:c>
      <x:c r="K14" s="7" t="str">
        <x:v>Residual adalimumab indications grouped to avoid false precision</x:v>
      </x:c>
      <x:c r="L14" s="7" t="str">
        <x:v>https://www.accessdata.fda.gov/drugsatfda_docs/label/2025/125057s424lbl.pdf</x:v>
      </x:c>
      <x:c r="M14" s="7" t="str">
        <x:v>Uveitis and other</x:v>
      </x:c>
      <x:c r="N14" s="7" t="str">
        <x:v>adult</x:v>
      </x:c>
      <x:c r="O14" s="7" t="n">
        <x:v>0.0002</x:v>
      </x:c>
      <x:c r="P14" s="7" t="n">
        <x:v>0.0005</x:v>
      </x:c>
      <x:c r="Q14" s="7" t="n">
        <x:v>0.001</x:v>
      </x:c>
      <x:c r="R14" s="7" t="n">
        <x:v>0.5</x:v>
      </x:c>
      <x:c r="S14" s="7" t="n">
        <x:v>0.75</x:v>
      </x:c>
      <x:c r="T14" s="7" t="n">
        <x:v>0.9</x:v>
      </x:c>
      <x:c r="U14" s="7" t="n">
        <x:v>0.1</x:v>
      </x:c>
      <x:c r="V14" s="7" t="n">
        <x:v>0.25</x:v>
      </x:c>
      <x:c r="W14" s="7" t="n">
        <x:v>0.4</x:v>
      </x:c>
      <x:c r="X14" s="7" t="n">
        <x:v>0.02</x:v>
      </x:c>
      <x:c r="Y14" s="7" t="n">
        <x:v>0.08</x:v>
      </x:c>
      <x:c r="Z14" s="7" t="n">
        <x:v>0.18</x:v>
      </x:c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</x:row>
    <x:row r="15" ht="24" hidden="0" customHeight="1">
      <x:c r="A15" s="7" t="str">
        <x:v>Molecule allocation by indication</x:v>
      </x:c>
      <x:c r="B15" s="7" t="str">
        <x:v>molecule_indication_priors.csv</x:v>
      </x:c>
      <x:c r="C15" s="7"/>
      <x:c r="D15" s="7"/>
      <x:c r="E15" s="7"/>
      <x:c r="F15" s="7"/>
      <x:c r="G15" s="7"/>
      <x:c r="H15" s="7"/>
      <x:c r="I15" s="7"/>
      <x:c r="J15" s="7"/>
      <x:c r="K15" s="7" t="str">
        <x:v>Share among public biologic-treated patients; other biologics remain outside model</x:v>
      </x:c>
      <x:c r="L15" s="7"/>
      <x:c r="M15" s="7" t="str">
        <x:v>Rheumatoid arthritis</x:v>
      </x:c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 t="str">
        <x:v>Current evidence</x:v>
      </x:c>
      <x:c r="AB15" s="7" t="str">
        <x:v>Adalimumab</x:v>
      </x:c>
      <x:c r="AC15" s="7" t="n">
        <x:v>0.15</x:v>
      </x:c>
      <x:c r="AD15" s="7" t="n">
        <x:v>0.25</x:v>
      </x:c>
      <x:c r="AE15" s="7" t="n">
        <x:v>0.35</x:v>
      </x:c>
      <x:c r="AF15" s="7" t="n">
        <x:v>26</x:v>
      </x:c>
      <x:c r="AG15" s="7" t="str">
        <x:v>40 mg syringe/pen</x:v>
      </x:c>
      <x:c r="AH15" s="7" t="str">
        <x:v>assumption</x:v>
      </x:c>
      <x:c r="AI15" s="7"/>
      <x:c r="AJ15" s="7"/>
    </x:row>
    <x:row r="16" ht="24" hidden="0" customHeight="1">
      <x:c r="A16" s="7" t="str">
        <x:v>Molecule allocation by indication</x:v>
      </x:c>
      <x:c r="B16" s="7" t="str">
        <x:v>molecule_indication_priors.csv</x:v>
      </x:c>
      <x:c r="C16" s="7"/>
      <x:c r="D16" s="7"/>
      <x:c r="E16" s="7"/>
      <x:c r="F16" s="7"/>
      <x:c r="G16" s="7"/>
      <x:c r="H16" s="7"/>
      <x:c r="I16" s="7"/>
      <x:c r="J16" s="7"/>
      <x:c r="K16" s="7" t="str">
        <x:v>Includes induction and q2w maintenance approximation</x:v>
      </x:c>
      <x:c r="L16" s="7"/>
      <x:c r="M16" s="7" t="str">
        <x:v>Plaque psoriasis</x:v>
      </x:c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 t="str">
        <x:v>Current evidence</x:v>
      </x:c>
      <x:c r="AB16" s="7" t="str">
        <x:v>Adalimumab</x:v>
      </x:c>
      <x:c r="AC16" s="7" t="n">
        <x:v>0.1</x:v>
      </x:c>
      <x:c r="AD16" s="7" t="n">
        <x:v>0.18</x:v>
      </x:c>
      <x:c r="AE16" s="7" t="n">
        <x:v>0.28</x:v>
      </x:c>
      <x:c r="AF16" s="7" t="n">
        <x:v>28</x:v>
      </x:c>
      <x:c r="AG16" s="7" t="str">
        <x:v>40 mg syringe/pen</x:v>
      </x:c>
      <x:c r="AH16" s="7" t="str">
        <x:v>assumption</x:v>
      </x:c>
      <x:c r="AI16" s="7"/>
      <x:c r="AJ16" s="7"/>
    </x:row>
    <x:row r="17" ht="15" hidden="0" customHeight="1">
      <x:c r="A17" s="7" t="str">
        <x:v>Molecule allocation by indication</x:v>
      </x:c>
      <x:c r="B17" s="7" t="str">
        <x:v>molecule_indication_priors.csv</x:v>
      </x:c>
      <x:c r="C17" s="7"/>
      <x:c r="D17" s="7"/>
      <x:c r="E17" s="7"/>
      <x:c r="F17" s="7"/>
      <x:c r="G17" s="7"/>
      <x:c r="H17" s="7"/>
      <x:c r="I17" s="7"/>
      <x:c r="J17" s="7"/>
      <x:c r="K17" s="7" t="str">
        <x:v>q2w maintenance approximation</x:v>
      </x:c>
      <x:c r="L17" s="7"/>
      <x:c r="M17" s="7" t="str">
        <x:v>Psoriatic arthritis</x:v>
      </x:c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 t="str">
        <x:v>Current evidence</x:v>
      </x:c>
      <x:c r="AB17" s="7" t="str">
        <x:v>Adalimumab</x:v>
      </x:c>
      <x:c r="AC17" s="7" t="n">
        <x:v>0.15</x:v>
      </x:c>
      <x:c r="AD17" s="7" t="n">
        <x:v>0.25</x:v>
      </x:c>
      <x:c r="AE17" s="7" t="n">
        <x:v>0.35</x:v>
      </x:c>
      <x:c r="AF17" s="7" t="n">
        <x:v>26</x:v>
      </x:c>
      <x:c r="AG17" s="7" t="str">
        <x:v>40 mg syringe/pen</x:v>
      </x:c>
      <x:c r="AH17" s="7" t="str">
        <x:v>assumption</x:v>
      </x:c>
      <x:c r="AI17" s="7"/>
      <x:c r="AJ17" s="7"/>
    </x:row>
    <x:row r="18" ht="15" hidden="0" customHeight="1">
      <x:c r="A18" s="7" t="str">
        <x:v>Molecule allocation by indication</x:v>
      </x:c>
      <x:c r="B18" s="7" t="str">
        <x:v>molecule_indication_priors.csv</x:v>
      </x:c>
      <x:c r="C18" s="7"/>
      <x:c r="D18" s="7"/>
      <x:c r="E18" s="7"/>
      <x:c r="F18" s="7"/>
      <x:c r="G18" s="7"/>
      <x:c r="H18" s="7"/>
      <x:c r="I18" s="7"/>
      <x:c r="J18" s="7"/>
      <x:c r="K18" s="7" t="str">
        <x:v>q2w maintenance approximation</x:v>
      </x:c>
      <x:c r="L18" s="7"/>
      <x:c r="M18" s="7" t="str">
        <x:v>Axial spondyloarthritis</x:v>
      </x:c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 t="str">
        <x:v>Current evidence</x:v>
      </x:c>
      <x:c r="AB18" s="7" t="str">
        <x:v>Adalimumab</x:v>
      </x:c>
      <x:c r="AC18" s="7" t="n">
        <x:v>0.15</x:v>
      </x:c>
      <x:c r="AD18" s="7" t="n">
        <x:v>0.25</x:v>
      </x:c>
      <x:c r="AE18" s="7" t="n">
        <x:v>0.35</x:v>
      </x:c>
      <x:c r="AF18" s="7" t="n">
        <x:v>26</x:v>
      </x:c>
      <x:c r="AG18" s="7" t="str">
        <x:v>40 mg syringe/pen</x:v>
      </x:c>
      <x:c r="AH18" s="7" t="str">
        <x:v>assumption</x:v>
      </x:c>
      <x:c r="AI18" s="7"/>
      <x:c r="AJ18" s="7"/>
    </x:row>
    <x:row r="19" ht="24" hidden="0" customHeight="1">
      <x:c r="A19" s="7" t="str">
        <x:v>Molecule allocation by indication</x:v>
      </x:c>
      <x:c r="B19" s="7" t="str">
        <x:v>molecule_indication_priors.csv</x:v>
      </x:c>
      <x:c r="C19" s="7"/>
      <x:c r="D19" s="7"/>
      <x:c r="E19" s="7"/>
      <x:c r="F19" s="7"/>
      <x:c r="G19" s="7"/>
      <x:c r="H19" s="7"/>
      <x:c r="I19" s="7"/>
      <x:c r="J19" s="7"/>
      <x:c r="K19" s="7" t="str">
        <x:v>First-year induction plus maintenance approximation</x:v>
      </x:c>
      <x:c r="L19" s="7"/>
      <x:c r="M19" s="7" t="str">
        <x:v>Inflammatory bowel disease</x:v>
      </x:c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 t="str">
        <x:v>Current evidence</x:v>
      </x:c>
      <x:c r="AB19" s="7" t="str">
        <x:v>Adalimumab</x:v>
      </x:c>
      <x:c r="AC19" s="7" t="n">
        <x:v>0.2</x:v>
      </x:c>
      <x:c r="AD19" s="7" t="n">
        <x:v>0.35</x:v>
      </x:c>
      <x:c r="AE19" s="7" t="n">
        <x:v>0.5</x:v>
      </x:c>
      <x:c r="AF19" s="7" t="n">
        <x:v>32</x:v>
      </x:c>
      <x:c r="AG19" s="7" t="str">
        <x:v>40 mg-equivalent syringe/pen</x:v>
      </x:c>
      <x:c r="AH19" s="7" t="str">
        <x:v>assumption</x:v>
      </x:c>
      <x:c r="AI19" s="7"/>
      <x:c r="AJ19" s="7"/>
    </x:row>
    <x:row r="20" ht="15" hidden="0" customHeight="1">
      <x:c r="A20" s="7" t="str">
        <x:v>Molecule allocation by indication</x:v>
      </x:c>
      <x:c r="B20" s="7" t="str">
        <x:v>molecule_indication_priors.csv</x:v>
      </x:c>
      <x:c r="C20" s="7"/>
      <x:c r="D20" s="7"/>
      <x:c r="E20" s="7"/>
      <x:c r="F20" s="7"/>
      <x:c r="G20" s="7"/>
      <x:c r="H20" s="7"/>
      <x:c r="I20" s="7"/>
      <x:c r="J20" s="7"/>
      <x:c r="K20" s="7" t="str">
        <x:v>Residual indication approximation</x:v>
      </x:c>
      <x:c r="L20" s="7"/>
      <x:c r="M20" s="7" t="str">
        <x:v>Uveitis and other</x:v>
      </x:c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 t="str">
        <x:v>Current evidence</x:v>
      </x:c>
      <x:c r="AB20" s="7" t="str">
        <x:v>Adalimumab</x:v>
      </x:c>
      <x:c r="AC20" s="7" t="n">
        <x:v>0.2</x:v>
      </x:c>
      <x:c r="AD20" s="7" t="n">
        <x:v>0.4</x:v>
      </x:c>
      <x:c r="AE20" s="7" t="n">
        <x:v>0.6</x:v>
      </x:c>
      <x:c r="AF20" s="7" t="n">
        <x:v>26</x:v>
      </x:c>
      <x:c r="AG20" s="7" t="str">
        <x:v>40 mg syringe/pen</x:v>
      </x:c>
      <x:c r="AH20" s="7" t="str">
        <x:v>assumption</x:v>
      </x:c>
      <x:c r="AI20" s="7"/>
      <x:c r="AJ20" s="7"/>
    </x:row>
    <x:row r="21" ht="24" hidden="0" customHeight="1">
      <x:c r="A21" s="7" t="str">
        <x:v>Molecule allocation by indication</x:v>
      </x:c>
      <x:c r="B21" s="7" t="str">
        <x:v>molecule_indication_priors.csv</x:v>
      </x:c>
      <x:c r="C21" s="7"/>
      <x:c r="D21" s="7"/>
      <x:c r="E21" s="7"/>
      <x:c r="F21" s="7"/>
      <x:c r="G21" s="7"/>
      <x:c r="H21" s="7"/>
      <x:c r="I21" s="7"/>
      <x:c r="J21" s="7"/>
      <x:c r="K21" s="7" t="str">
        <x:v>Five loading doses plus 300 mg monthly approximation</x:v>
      </x:c>
      <x:c r="L21" s="7"/>
      <x:c r="M21" s="7" t="str">
        <x:v>Plaque psoriasis</x:v>
      </x:c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 t="str">
        <x:v>Current evidence</x:v>
      </x:c>
      <x:c r="AB21" s="7" t="str">
        <x:v>Secukinumab</x:v>
      </x:c>
      <x:c r="AC21" s="7" t="n">
        <x:v>0.25</x:v>
      </x:c>
      <x:c r="AD21" s="7" t="n">
        <x:v>0.4</x:v>
      </x:c>
      <x:c r="AE21" s="7" t="n">
        <x:v>0.55</x:v>
      </x:c>
      <x:c r="AF21" s="7" t="n">
        <x:v>32</x:v>
      </x:c>
      <x:c r="AG21" s="7" t="str">
        <x:v>150 mg injection</x:v>
      </x:c>
      <x:c r="AH21" s="7" t="str">
        <x:v>assumption</x:v>
      </x:c>
      <x:c r="AI21" s="7"/>
      <x:c r="AJ21" s="7"/>
    </x:row>
    <x:row r="22" ht="24" hidden="0" customHeight="1">
      <x:c r="A22" s="7" t="str">
        <x:v>Molecule allocation by indication</x:v>
      </x:c>
      <x:c r="B22" s="7" t="str">
        <x:v>molecule_indication_priors.csv</x:v>
      </x:c>
      <x:c r="C22" s="7"/>
      <x:c r="D22" s="7"/>
      <x:c r="E22" s="7"/>
      <x:c r="F22" s="7"/>
      <x:c r="G22" s="7"/>
      <x:c r="H22" s="7"/>
      <x:c r="I22" s="7"/>
      <x:c r="J22" s="7"/>
      <x:c r="K22" s="7" t="str">
        <x:v>150 mg loading plus monthly approximation; some patients use 300 mg</x:v>
      </x:c>
      <x:c r="L22" s="7"/>
      <x:c r="M22" s="7" t="str">
        <x:v>Psoriatic arthritis</x:v>
      </x:c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 t="str">
        <x:v>Current evidence</x:v>
      </x:c>
      <x:c r="AB22" s="7" t="str">
        <x:v>Secukinumab</x:v>
      </x:c>
      <x:c r="AC22" s="7" t="n">
        <x:v>0.2</x:v>
      </x:c>
      <x:c r="AD22" s="7" t="n">
        <x:v>0.35</x:v>
      </x:c>
      <x:c r="AE22" s="7" t="n">
        <x:v>0.5</x:v>
      </x:c>
      <x:c r="AF22" s="7" t="n">
        <x:v>17</x:v>
      </x:c>
      <x:c r="AG22" s="7" t="str">
        <x:v>150 mg injection</x:v>
      </x:c>
      <x:c r="AH22" s="7" t="str">
        <x:v>assumption</x:v>
      </x:c>
      <x:c r="AI22" s="7"/>
      <x:c r="AJ22" s="7"/>
    </x:row>
    <x:row r="23" ht="15" hidden="0" customHeight="1">
      <x:c r="A23" s="7" t="str">
        <x:v>Molecule allocation by indication</x:v>
      </x:c>
      <x:c r="B23" s="7" t="str">
        <x:v>molecule_indication_priors.csv</x:v>
      </x:c>
      <x:c r="C23" s="7"/>
      <x:c r="D23" s="7"/>
      <x:c r="E23" s="7"/>
      <x:c r="F23" s="7"/>
      <x:c r="G23" s="7"/>
      <x:c r="H23" s="7"/>
      <x:c r="I23" s="7"/>
      <x:c r="J23" s="7"/>
      <x:c r="K23" s="7" t="str">
        <x:v>150 mg loading plus monthly approximation</x:v>
      </x:c>
      <x:c r="L23" s="7"/>
      <x:c r="M23" s="7" t="str">
        <x:v>Axial spondyloarthritis</x:v>
      </x:c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 t="str">
        <x:v>Current evidence</x:v>
      </x:c>
      <x:c r="AB23" s="7" t="str">
        <x:v>Secukinumab</x:v>
      </x:c>
      <x:c r="AC23" s="7" t="n">
        <x:v>0.25</x:v>
      </x:c>
      <x:c r="AD23" s="7" t="n">
        <x:v>0.4</x:v>
      </x:c>
      <x:c r="AE23" s="7" t="n">
        <x:v>0.55</x:v>
      </x:c>
      <x:c r="AF23" s="7" t="n">
        <x:v>17</x:v>
      </x:c>
      <x:c r="AG23" s="7" t="str">
        <x:v>150 mg injection</x:v>
      </x:c>
      <x:c r="AH23" s="7" t="str">
        <x:v>assumption</x:v>
      </x:c>
      <x:c r="AI23" s="7"/>
      <x:c r="AJ23" s="7"/>
    </x:row>
    <x:row r="24" ht="15" hidden="0" customHeight="1">
      <x:c r="A24" s="7" t="str">
        <x:v>Molecule allocation by indication</x:v>
      </x:c>
      <x:c r="B24" s="7" t="str">
        <x:v>molecule_indication_priors.csv</x:v>
      </x:c>
      <x:c r="C24" s="7"/>
      <x:c r="D24" s="7"/>
      <x:c r="E24" s="7"/>
      <x:c r="F24" s="7"/>
      <x:c r="G24" s="7"/>
      <x:c r="H24" s="7"/>
      <x:c r="I24" s="7"/>
      <x:c r="J24" s="7"/>
      <x:c r="K24" s="7" t="str">
        <x:v>No Mexican public utilization anchor observed</x:v>
      </x:c>
      <x:c r="L24" s="7"/>
      <x:c r="M24" s="7" t="str">
        <x:v>Plaque psoriasis</x:v>
      </x:c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 t="str">
        <x:v>Current evidence</x:v>
      </x:c>
      <x:c r="AB24" s="7" t="str">
        <x:v>Bimekizumab</x:v>
      </x:c>
      <x:c r="AC24" s="7" t="n">
        <x:v>0</x:v>
      </x:c>
      <x:c r="AD24" s="7" t="n">
        <x:v>0</x:v>
      </x:c>
      <x:c r="AE24" s="7" t="n">
        <x:v>0</x:v>
      </x:c>
      <x:c r="AF24" s="7" t="n">
        <x:v>16</x:v>
      </x:c>
      <x:c r="AG24" s="7" t="str">
        <x:v>160 mg injection</x:v>
      </x:c>
      <x:c r="AH24" s="7" t="str">
        <x:v>structural zero</x:v>
      </x:c>
      <x:c r="AI24" s="7"/>
      <x:c r="AJ24" s="7"/>
    </x:row>
    <x:row r="25" ht="15" hidden="0" customHeight="1">
      <x:c r="A25" s="7" t="str">
        <x:v>Molecule allocation by indication</x:v>
      </x:c>
      <x:c r="B25" s="7" t="str">
        <x:v>molecule_indication_priors.csv</x:v>
      </x:c>
      <x:c r="C25" s="7"/>
      <x:c r="D25" s="7"/>
      <x:c r="E25" s="7"/>
      <x:c r="F25" s="7"/>
      <x:c r="G25" s="7"/>
      <x:c r="H25" s="7"/>
      <x:c r="I25" s="7"/>
      <x:c r="J25" s="7"/>
      <x:c r="K25" s="7" t="str">
        <x:v>No Mexican public utilization anchor observed</x:v>
      </x:c>
      <x:c r="L25" s="7"/>
      <x:c r="M25" s="7" t="str">
        <x:v>Psoriatic arthritis</x:v>
      </x:c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 t="str">
        <x:v>Current evidence</x:v>
      </x:c>
      <x:c r="AB25" s="7" t="str">
        <x:v>Bimekizumab</x:v>
      </x:c>
      <x:c r="AC25" s="7" t="n">
        <x:v>0</x:v>
      </x:c>
      <x:c r="AD25" s="7" t="n">
        <x:v>0</x:v>
      </x:c>
      <x:c r="AE25" s="7" t="n">
        <x:v>0</x:v>
      </x:c>
      <x:c r="AF25" s="7" t="n">
        <x:v>13</x:v>
      </x:c>
      <x:c r="AG25" s="7" t="str">
        <x:v>160 mg injection</x:v>
      </x:c>
      <x:c r="AH25" s="7" t="str">
        <x:v>structural zero</x:v>
      </x:c>
      <x:c r="AI25" s="7"/>
      <x:c r="AJ25" s="7"/>
    </x:row>
    <x:row r="26" ht="15" hidden="0" customHeight="1">
      <x:c r="A26" s="7" t="str">
        <x:v>Molecule allocation by indication</x:v>
      </x:c>
      <x:c r="B26" s="7" t="str">
        <x:v>molecule_indication_priors.csv</x:v>
      </x:c>
      <x:c r="C26" s="7"/>
      <x:c r="D26" s="7"/>
      <x:c r="E26" s="7"/>
      <x:c r="F26" s="7"/>
      <x:c r="G26" s="7"/>
      <x:c r="H26" s="7"/>
      <x:c r="I26" s="7"/>
      <x:c r="J26" s="7"/>
      <x:c r="K26" s="7" t="str">
        <x:v>No Mexican public utilization anchor observed</x:v>
      </x:c>
      <x:c r="L26" s="7"/>
      <x:c r="M26" s="7" t="str">
        <x:v>Axial spondyloarthritis</x:v>
      </x:c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 t="str">
        <x:v>Current evidence</x:v>
      </x:c>
      <x:c r="AB26" s="7" t="str">
        <x:v>Bimekizumab</x:v>
      </x:c>
      <x:c r="AC26" s="7" t="n">
        <x:v>0</x:v>
      </x:c>
      <x:c r="AD26" s="7" t="n">
        <x:v>0</x:v>
      </x:c>
      <x:c r="AE26" s="7" t="n">
        <x:v>0</x:v>
      </x:c>
      <x:c r="AF26" s="7" t="n">
        <x:v>13</x:v>
      </x:c>
      <x:c r="AG26" s="7" t="str">
        <x:v>160 mg injection</x:v>
      </x:c>
      <x:c r="AH26" s="7" t="str">
        <x:v>structural zero</x:v>
      </x:c>
      <x:c r="AI26" s="7"/>
      <x:c r="AJ26" s="7"/>
    </x:row>
    <x:row r="27" ht="15" hidden="0" customHeight="1">
      <x:c r="A27" s="7" t="str">
        <x:v>Molecule allocation by indication</x:v>
      </x:c>
      <x:c r="B27" s="7" t="str">
        <x:v>molecule_indication_priors.csv</x:v>
      </x:c>
      <x:c r="C27" s="7"/>
      <x:c r="D27" s="7"/>
      <x:c r="E27" s="7"/>
      <x:c r="F27" s="7"/>
      <x:c r="G27" s="7"/>
      <x:c r="H27" s="7"/>
      <x:c r="I27" s="7"/>
      <x:c r="J27" s="7"/>
      <x:c r="K27" s="7" t="str">
        <x:v>Same indication landscape</x:v>
      </x:c>
      <x:c r="L27" s="7"/>
      <x:c r="M27" s="7" t="str">
        <x:v>Rheumatoid arthritis</x:v>
      </x:c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 t="str">
        <x:v>Launch scenario</x:v>
      </x:c>
      <x:c r="AB27" s="7" t="str">
        <x:v>Adalimumab</x:v>
      </x:c>
      <x:c r="AC27" s="7" t="n">
        <x:v>0.15</x:v>
      </x:c>
      <x:c r="AD27" s="7" t="n">
        <x:v>0.25</x:v>
      </x:c>
      <x:c r="AE27" s="7" t="n">
        <x:v>0.35</x:v>
      </x:c>
      <x:c r="AF27" s="7" t="n">
        <x:v>26</x:v>
      </x:c>
      <x:c r="AG27" s="7" t="str">
        <x:v>40 mg syringe/pen</x:v>
      </x:c>
      <x:c r="AH27" s="7" t="str">
        <x:v>assumption</x:v>
      </x:c>
      <x:c r="AI27" s="7"/>
      <x:c r="AJ27" s="7"/>
    </x:row>
    <x:row r="28" ht="15" hidden="0" customHeight="1">
      <x:c r="A28" s="7" t="str">
        <x:v>Molecule allocation by indication</x:v>
      </x:c>
      <x:c r="B28" s="7" t="str">
        <x:v>molecule_indication_priors.csv</x:v>
      </x:c>
      <x:c r="C28" s="7"/>
      <x:c r="D28" s="7"/>
      <x:c r="E28" s="7"/>
      <x:c r="F28" s="7"/>
      <x:c r="G28" s="7"/>
      <x:c r="H28" s="7"/>
      <x:c r="I28" s="7"/>
      <x:c r="J28" s="7"/>
      <x:c r="K28" s="7" t="str">
        <x:v>Small displacement by IL-17 entrants</x:v>
      </x:c>
      <x:c r="L28" s="7"/>
      <x:c r="M28" s="7" t="str">
        <x:v>Plaque psoriasis</x:v>
      </x:c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 t="str">
        <x:v>Launch scenario</x:v>
      </x:c>
      <x:c r="AB28" s="7" t="str">
        <x:v>Adalimumab</x:v>
      </x:c>
      <x:c r="AC28" s="7" t="n">
        <x:v>0.08</x:v>
      </x:c>
      <x:c r="AD28" s="7" t="n">
        <x:v>0.16</x:v>
      </x:c>
      <x:c r="AE28" s="7" t="n">
        <x:v>0.25</x:v>
      </x:c>
      <x:c r="AF28" s="7" t="n">
        <x:v>28</x:v>
      </x:c>
      <x:c r="AG28" s="7" t="str">
        <x:v>40 mg syringe/pen</x:v>
      </x:c>
      <x:c r="AH28" s="7" t="str">
        <x:v>assumption</x:v>
      </x:c>
      <x:c r="AI28" s="7"/>
      <x:c r="AJ28" s="7"/>
    </x:row>
    <x:row r="29" ht="15" hidden="0" customHeight="1">
      <x:c r="A29" s="7" t="str">
        <x:v>Molecule allocation by indication</x:v>
      </x:c>
      <x:c r="B29" s="7" t="str">
        <x:v>molecule_indication_priors.csv</x:v>
      </x:c>
      <x:c r="C29" s="7"/>
      <x:c r="D29" s="7"/>
      <x:c r="E29" s="7"/>
      <x:c r="F29" s="7"/>
      <x:c r="G29" s="7"/>
      <x:c r="H29" s="7"/>
      <x:c r="I29" s="7"/>
      <x:c r="J29" s="7"/>
      <x:c r="K29" s="7" t="str">
        <x:v>Small displacement by IL-17 entrants</x:v>
      </x:c>
      <x:c r="L29" s="7"/>
      <x:c r="M29" s="7" t="str">
        <x:v>Psoriatic arthritis</x:v>
      </x:c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 t="str">
        <x:v>Launch scenario</x:v>
      </x:c>
      <x:c r="AB29" s="7" t="str">
        <x:v>Adalimumab</x:v>
      </x:c>
      <x:c r="AC29" s="7" t="n">
        <x:v>0.13</x:v>
      </x:c>
      <x:c r="AD29" s="7" t="n">
        <x:v>0.22</x:v>
      </x:c>
      <x:c r="AE29" s="7" t="n">
        <x:v>0.32</x:v>
      </x:c>
      <x:c r="AF29" s="7" t="n">
        <x:v>26</x:v>
      </x:c>
      <x:c r="AG29" s="7" t="str">
        <x:v>40 mg syringe/pen</x:v>
      </x:c>
      <x:c r="AH29" s="7" t="str">
        <x:v>assumption</x:v>
      </x:c>
      <x:c r="AI29" s="7"/>
      <x:c r="AJ29" s="7"/>
    </x:row>
    <x:row r="30" ht="15" hidden="0" customHeight="1">
      <x:c r="A30" s="7" t="str">
        <x:v>Molecule allocation by indication</x:v>
      </x:c>
      <x:c r="B30" s="7" t="str">
        <x:v>molecule_indication_priors.csv</x:v>
      </x:c>
      <x:c r="C30" s="7"/>
      <x:c r="D30" s="7"/>
      <x:c r="E30" s="7"/>
      <x:c r="F30" s="7"/>
      <x:c r="G30" s="7"/>
      <x:c r="H30" s="7"/>
      <x:c r="I30" s="7"/>
      <x:c r="J30" s="7"/>
      <x:c r="K30" s="7" t="str">
        <x:v>Small displacement by IL-17 entrants</x:v>
      </x:c>
      <x:c r="L30" s="7"/>
      <x:c r="M30" s="7" t="str">
        <x:v>Axial spondyloarthritis</x:v>
      </x:c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 t="str">
        <x:v>Launch scenario</x:v>
      </x:c>
      <x:c r="AB30" s="7" t="str">
        <x:v>Adalimumab</x:v>
      </x:c>
      <x:c r="AC30" s="7" t="n">
        <x:v>0.13</x:v>
      </x:c>
      <x:c r="AD30" s="7" t="n">
        <x:v>0.22</x:v>
      </x:c>
      <x:c r="AE30" s="7" t="n">
        <x:v>0.32</x:v>
      </x:c>
      <x:c r="AF30" s="7" t="n">
        <x:v>26</x:v>
      </x:c>
      <x:c r="AG30" s="7" t="str">
        <x:v>40 mg syringe/pen</x:v>
      </x:c>
      <x:c r="AH30" s="7" t="str">
        <x:v>assumption</x:v>
      </x:c>
      <x:c r="AI30" s="7"/>
      <x:c r="AJ30" s="7"/>
    </x:row>
    <x:row r="31" ht="15" hidden="0" customHeight="1">
      <x:c r="A31" s="7" t="str">
        <x:v>Molecule allocation by indication</x:v>
      </x:c>
      <x:c r="B31" s="7" t="str">
        <x:v>molecule_indication_priors.csv</x:v>
      </x:c>
      <x:c r="C31" s="7"/>
      <x:c r="D31" s="7"/>
      <x:c r="E31" s="7"/>
      <x:c r="F31" s="7"/>
      <x:c r="G31" s="7"/>
      <x:c r="H31" s="7"/>
      <x:c r="I31" s="7"/>
      <x:c r="J31" s="7"/>
      <x:c r="K31" s="7" t="str">
        <x:v>IL-17 competitors not assigned to IBD</x:v>
      </x:c>
      <x:c r="L31" s="7"/>
      <x:c r="M31" s="7" t="str">
        <x:v>Inflammatory bowel disease</x:v>
      </x:c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 t="str">
        <x:v>Launch scenario</x:v>
      </x:c>
      <x:c r="AB31" s="7" t="str">
        <x:v>Adalimumab</x:v>
      </x:c>
      <x:c r="AC31" s="7" t="n">
        <x:v>0.2</x:v>
      </x:c>
      <x:c r="AD31" s="7" t="n">
        <x:v>0.35</x:v>
      </x:c>
      <x:c r="AE31" s="7" t="n">
        <x:v>0.5</x:v>
      </x:c>
      <x:c r="AF31" s="7" t="n">
        <x:v>32</x:v>
      </x:c>
      <x:c r="AG31" s="7" t="str">
        <x:v>40 mg-equivalent syringe/pen</x:v>
      </x:c>
      <x:c r="AH31" s="7" t="str">
        <x:v>assumption</x:v>
      </x:c>
      <x:c r="AI31" s="7"/>
      <x:c r="AJ31" s="7"/>
    </x:row>
    <x:row r="32" ht="15" hidden="0" customHeight="1">
      <x:c r="A32" s="7" t="str">
        <x:v>Molecule allocation by indication</x:v>
      </x:c>
      <x:c r="B32" s="7" t="str">
        <x:v>molecule_indication_priors.csv</x:v>
      </x:c>
      <x:c r="C32" s="7"/>
      <x:c r="D32" s="7"/>
      <x:c r="E32" s="7"/>
      <x:c r="F32" s="7"/>
      <x:c r="G32" s="7"/>
      <x:c r="H32" s="7"/>
      <x:c r="I32" s="7"/>
      <x:c r="J32" s="7"/>
      <x:c r="K32" s="7" t="str">
        <x:v>Residual indication approximation</x:v>
      </x:c>
      <x:c r="L32" s="7"/>
      <x:c r="M32" s="7" t="str">
        <x:v>Uveitis and other</x:v>
      </x:c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 t="str">
        <x:v>Launch scenario</x:v>
      </x:c>
      <x:c r="AB32" s="7" t="str">
        <x:v>Adalimumab</x:v>
      </x:c>
      <x:c r="AC32" s="7" t="n">
        <x:v>0.2</x:v>
      </x:c>
      <x:c r="AD32" s="7" t="n">
        <x:v>0.4</x:v>
      </x:c>
      <x:c r="AE32" s="7" t="n">
        <x:v>0.6</x:v>
      </x:c>
      <x:c r="AF32" s="7" t="n">
        <x:v>26</x:v>
      </x:c>
      <x:c r="AG32" s="7" t="str">
        <x:v>40 mg syringe/pen</x:v>
      </x:c>
      <x:c r="AH32" s="7" t="str">
        <x:v>assumption</x:v>
      </x:c>
      <x:c r="AI32" s="7"/>
      <x:c r="AJ32" s="7"/>
    </x:row>
    <x:row r="33" ht="15" hidden="0" customHeight="1">
      <x:c r="A33" s="7" t="str">
        <x:v>Molecule allocation by indication</x:v>
      </x:c>
      <x:c r="B33" s="7" t="str">
        <x:v>molecule_indication_priors.csv</x:v>
      </x:c>
      <x:c r="C33" s="7"/>
      <x:c r="D33" s="7"/>
      <x:c r="E33" s="7"/>
      <x:c r="F33" s="7"/>
      <x:c r="G33" s="7"/>
      <x:c r="H33" s="7"/>
      <x:c r="I33" s="7"/>
      <x:c r="J33" s="7"/>
      <x:c r="K33" s="7" t="str">
        <x:v>Potential displacement by bimekizumab</x:v>
      </x:c>
      <x:c r="L33" s="7"/>
      <x:c r="M33" s="7" t="str">
        <x:v>Plaque psoriasis</x:v>
      </x:c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 t="str">
        <x:v>Launch scenario</x:v>
      </x:c>
      <x:c r="AB33" s="7" t="str">
        <x:v>Secukinumab</x:v>
      </x:c>
      <x:c r="AC33" s="7" t="n">
        <x:v>0.23</x:v>
      </x:c>
      <x:c r="AD33" s="7" t="n">
        <x:v>0.36</x:v>
      </x:c>
      <x:c r="AE33" s="7" t="n">
        <x:v>0.5</x:v>
      </x:c>
      <x:c r="AF33" s="7" t="n">
        <x:v>32</x:v>
      </x:c>
      <x:c r="AG33" s="7" t="str">
        <x:v>150 mg injection</x:v>
      </x:c>
      <x:c r="AH33" s="7" t="str">
        <x:v>assumption</x:v>
      </x:c>
      <x:c r="AI33" s="7"/>
      <x:c r="AJ33" s="7"/>
    </x:row>
    <x:row r="34" ht="15" hidden="0" customHeight="1">
      <x:c r="A34" s="7" t="str">
        <x:v>Molecule allocation by indication</x:v>
      </x:c>
      <x:c r="B34" s="7" t="str">
        <x:v>molecule_indication_priors.csv</x:v>
      </x:c>
      <x:c r="C34" s="7"/>
      <x:c r="D34" s="7"/>
      <x:c r="E34" s="7"/>
      <x:c r="F34" s="7"/>
      <x:c r="G34" s="7"/>
      <x:c r="H34" s="7"/>
      <x:c r="I34" s="7"/>
      <x:c r="J34" s="7"/>
      <x:c r="K34" s="7" t="str">
        <x:v>Potential displacement by bimekizumab</x:v>
      </x:c>
      <x:c r="L34" s="7"/>
      <x:c r="M34" s="7" t="str">
        <x:v>Psoriatic arthritis</x:v>
      </x:c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 t="str">
        <x:v>Launch scenario</x:v>
      </x:c>
      <x:c r="AB34" s="7" t="str">
        <x:v>Secukinumab</x:v>
      </x:c>
      <x:c r="AC34" s="7" t="n">
        <x:v>0.18</x:v>
      </x:c>
      <x:c r="AD34" s="7" t="n">
        <x:v>0.3</x:v>
      </x:c>
      <x:c r="AE34" s="7" t="n">
        <x:v>0.44</x:v>
      </x:c>
      <x:c r="AF34" s="7" t="n">
        <x:v>17</x:v>
      </x:c>
      <x:c r="AG34" s="7" t="str">
        <x:v>150 mg injection</x:v>
      </x:c>
      <x:c r="AH34" s="7" t="str">
        <x:v>assumption</x:v>
      </x:c>
      <x:c r="AI34" s="7"/>
      <x:c r="AJ34" s="7"/>
    </x:row>
    <x:row r="35" ht="15" hidden="0" customHeight="1">
      <x:c r="A35" s="7" t="str">
        <x:v>Molecule allocation by indication</x:v>
      </x:c>
      <x:c r="B35" s="7" t="str">
        <x:v>molecule_indication_priors.csv</x:v>
      </x:c>
      <x:c r="C35" s="7"/>
      <x:c r="D35" s="7"/>
      <x:c r="E35" s="7"/>
      <x:c r="F35" s="7"/>
      <x:c r="G35" s="7"/>
      <x:c r="H35" s="7"/>
      <x:c r="I35" s="7"/>
      <x:c r="J35" s="7"/>
      <x:c r="K35" s="7" t="str">
        <x:v>Potential displacement by bimekizumab</x:v>
      </x:c>
      <x:c r="L35" s="7"/>
      <x:c r="M35" s="7" t="str">
        <x:v>Axial spondyloarthritis</x:v>
      </x:c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 t="str">
        <x:v>Launch scenario</x:v>
      </x:c>
      <x:c r="AB35" s="7" t="str">
        <x:v>Secukinumab</x:v>
      </x:c>
      <x:c r="AC35" s="7" t="n">
        <x:v>0.22</x:v>
      </x:c>
      <x:c r="AD35" s="7" t="n">
        <x:v>0.35</x:v>
      </x:c>
      <x:c r="AE35" s="7" t="n">
        <x:v>0.5</x:v>
      </x:c>
      <x:c r="AF35" s="7" t="n">
        <x:v>17</x:v>
      </x:c>
      <x:c r="AG35" s="7" t="str">
        <x:v>150 mg injection</x:v>
      </x:c>
      <x:c r="AH35" s="7" t="str">
        <x:v>assumption</x:v>
      </x:c>
      <x:c r="AI35" s="7"/>
      <x:c r="AJ35" s="7"/>
    </x:row>
    <x:row r="36" ht="24" hidden="0" customHeight="1">
      <x:c r="A36" s="7" t="str">
        <x:v>Molecule allocation by indication</x:v>
      </x:c>
      <x:c r="B36" s="7" t="str">
        <x:v>molecule_indication_priors.csv</x:v>
      </x:c>
      <x:c r="C36" s="7"/>
      <x:c r="D36" s="7"/>
      <x:c r="E36" s="7"/>
      <x:c r="F36" s="7"/>
      <x:c r="G36" s="7"/>
      <x:c r="H36" s="7"/>
      <x:c r="I36" s="7"/>
      <x:c r="J36" s="7"/>
      <x:c r="K36" s="7" t="str">
        <x:v>Launch scenario; not observed Mexican public access</x:v>
      </x:c>
      <x:c r="L36" s="7"/>
      <x:c r="M36" s="7" t="str">
        <x:v>Plaque psoriasis</x:v>
      </x:c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 t="str">
        <x:v>Launch scenario</x:v>
      </x:c>
      <x:c r="AB36" s="7" t="str">
        <x:v>Bimekizumab</x:v>
      </x:c>
      <x:c r="AC36" s="7" t="n">
        <x:v>0.02</x:v>
      </x:c>
      <x:c r="AD36" s="7" t="n">
        <x:v>0.08</x:v>
      </x:c>
      <x:c r="AE36" s="7" t="n">
        <x:v>0.18</x:v>
      </x:c>
      <x:c r="AF36" s="7" t="n">
        <x:v>16</x:v>
      </x:c>
      <x:c r="AG36" s="7" t="str">
        <x:v>160 mg injection</x:v>
      </x:c>
      <x:c r="AH36" s="7" t="str">
        <x:v>hypothetical</x:v>
      </x:c>
      <x:c r="AI36" s="7"/>
      <x:c r="AJ36" s="7"/>
    </x:row>
    <x:row r="37" ht="24" hidden="0" customHeight="1">
      <x:c r="A37" s="7" t="str">
        <x:v>Molecule allocation by indication</x:v>
      </x:c>
      <x:c r="B37" s="7" t="str">
        <x:v>molecule_indication_priors.csv</x:v>
      </x:c>
      <x:c r="C37" s="7"/>
      <x:c r="D37" s="7"/>
      <x:c r="E37" s="7"/>
      <x:c r="F37" s="7"/>
      <x:c r="G37" s="7"/>
      <x:c r="H37" s="7"/>
      <x:c r="I37" s="7"/>
      <x:c r="J37" s="7"/>
      <x:c r="K37" s="7" t="str">
        <x:v>Launch scenario; not observed Mexican public access</x:v>
      </x:c>
      <x:c r="L37" s="7"/>
      <x:c r="M37" s="7" t="str">
        <x:v>Psoriatic arthritis</x:v>
      </x:c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 t="str">
        <x:v>Launch scenario</x:v>
      </x:c>
      <x:c r="AB37" s="7" t="str">
        <x:v>Bimekizumab</x:v>
      </x:c>
      <x:c r="AC37" s="7" t="n">
        <x:v>0.02</x:v>
      </x:c>
      <x:c r="AD37" s="7" t="n">
        <x:v>0.07</x:v>
      </x:c>
      <x:c r="AE37" s="7" t="n">
        <x:v>0.15</x:v>
      </x:c>
      <x:c r="AF37" s="7" t="n">
        <x:v>13</x:v>
      </x:c>
      <x:c r="AG37" s="7" t="str">
        <x:v>160 mg injection</x:v>
      </x:c>
      <x:c r="AH37" s="7" t="str">
        <x:v>hypothetical</x:v>
      </x:c>
      <x:c r="AI37" s="7"/>
      <x:c r="AJ37" s="7"/>
    </x:row>
    <x:row r="38" ht="24" hidden="0" customHeight="1">
      <x:c r="A38" s="7" t="str">
        <x:v>Molecule allocation by indication</x:v>
      </x:c>
      <x:c r="B38" s="7" t="str">
        <x:v>molecule_indication_priors.csv</x:v>
      </x:c>
      <x:c r="C38" s="7"/>
      <x:c r="D38" s="7"/>
      <x:c r="E38" s="7"/>
      <x:c r="F38" s="7"/>
      <x:c r="G38" s="7"/>
      <x:c r="H38" s="7"/>
      <x:c r="I38" s="7"/>
      <x:c r="J38" s="7"/>
      <x:c r="K38" s="7" t="str">
        <x:v>Launch scenario; not observed Mexican public access</x:v>
      </x:c>
      <x:c r="L38" s="7"/>
      <x:c r="M38" s="7" t="str">
        <x:v>Axial spondyloarthritis</x:v>
      </x:c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 t="str">
        <x:v>Launch scenario</x:v>
      </x:c>
      <x:c r="AB38" s="7" t="str">
        <x:v>Bimekizumab</x:v>
      </x:c>
      <x:c r="AC38" s="7" t="n">
        <x:v>0.02</x:v>
      </x:c>
      <x:c r="AD38" s="7" t="n">
        <x:v>0.07</x:v>
      </x:c>
      <x:c r="AE38" s="7" t="n">
        <x:v>0.15</x:v>
      </x:c>
      <x:c r="AF38" s="7" t="n">
        <x:v>13</x:v>
      </x:c>
      <x:c r="AG38" s="7" t="str">
        <x:v>160 mg injection</x:v>
      </x:c>
      <x:c r="AH38" s="7" t="str">
        <x:v>hypothetical</x:v>
      </x:c>
      <x:c r="AI38" s="7"/>
      <x:c r="AJ38" s="7"/>
    </x:row>
    <x:row r="39" ht="24" hidden="0" customHeight="1">
      <x:c r="A39" s="7" t="str">
        <x:v>HS molecule mix</x:v>
      </x:c>
      <x:c r="B39" s="7" t="str">
        <x:v>hs_molecule_mix.csv</x:v>
      </x:c>
      <x:c r="C39" s="7"/>
      <x:c r="D39" s="7"/>
      <x:c r="E39" s="7"/>
      <x:c r="F39" s="7"/>
      <x:c r="G39" s="7"/>
      <x:c r="H39" s="7"/>
      <x:c r="I39" s="7"/>
      <x:c r="J39" s="7"/>
      <x:c r="K39" s="7" t="str">
        <x:v>First-year HS induction plus weekly maintenance; established option</x:v>
      </x:c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 t="str">
        <x:v>Current evidence</x:v>
      </x:c>
      <x:c r="AB39" s="7" t="str">
        <x:v>Adalimumab</x:v>
      </x:c>
      <x:c r="AC39" s="7"/>
      <x:c r="AD39" s="7"/>
      <x:c r="AE39" s="7"/>
      <x:c r="AF39" s="7" t="n">
        <x:v>58</x:v>
      </x:c>
      <x:c r="AG39" s="7" t="str">
        <x:v>40 mg syringe/pen</x:v>
      </x:c>
      <x:c r="AH39" s="7" t="str">
        <x:v>prior predictive</x:v>
      </x:c>
      <x:c r="AI39" s="7" t="n">
        <x:v>0.85</x:v>
      </x:c>
      <x:c r="AJ39" s="7" t="n">
        <x:v>30</x:v>
      </x:c>
    </x:row>
    <x:row r="40" ht="24" hidden="0" customHeight="1">
      <x:c r="A40" s="7" t="str">
        <x:v>HS molecule mix</x:v>
      </x:c>
      <x:c r="B40" s="7" t="str">
        <x:v>hs_molecule_mix.csv</x:v>
      </x:c>
      <x:c r="C40" s="7"/>
      <x:c r="D40" s="7"/>
      <x:c r="E40" s="7"/>
      <x:c r="F40" s="7"/>
      <x:c r="G40" s="7"/>
      <x:c r="H40" s="7"/>
      <x:c r="I40" s="7"/>
      <x:c r="J40" s="7"/>
      <x:c r="K40" s="7" t="str">
        <x:v>Potential current allocation; Mexican public HS use not observed</x:v>
      </x:c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 t="str">
        <x:v>Current evidence</x:v>
      </x:c>
      <x:c r="AB40" s="7" t="str">
        <x:v>Secukinumab</x:v>
      </x:c>
      <x:c r="AC40" s="7"/>
      <x:c r="AD40" s="7"/>
      <x:c r="AE40" s="7"/>
      <x:c r="AF40" s="7" t="n">
        <x:v>32</x:v>
      </x:c>
      <x:c r="AG40" s="7" t="str">
        <x:v>150 mg injection</x:v>
      </x:c>
      <x:c r="AH40" s="7" t="str">
        <x:v>prior predictive</x:v>
      </x:c>
      <x:c r="AI40" s="7" t="n">
        <x:v>0.15</x:v>
      </x:c>
      <x:c r="AJ40" s="7" t="n">
        <x:v>30</x:v>
      </x:c>
    </x:row>
    <x:row r="41" ht="15" hidden="0" customHeight="1">
      <x:c r="A41" s="7" t="str">
        <x:v>HS molecule mix</x:v>
      </x:c>
      <x:c r="B41" s="7" t="str">
        <x:v>hs_molecule_mix.csv</x:v>
      </x:c>
      <x:c r="C41" s="7"/>
      <x:c r="D41" s="7"/>
      <x:c r="E41" s="7"/>
      <x:c r="F41" s="7"/>
      <x:c r="G41" s="7"/>
      <x:c r="H41" s="7"/>
      <x:c r="I41" s="7"/>
      <x:c r="J41" s="7"/>
      <x:c r="K41" s="7" t="str">
        <x:v>No Mexican public HS incorporation observed</x:v>
      </x:c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 t="str">
        <x:v>Current evidence</x:v>
      </x:c>
      <x:c r="AB41" s="7" t="str">
        <x:v>Bimekizumab</x:v>
      </x:c>
      <x:c r="AC41" s="7"/>
      <x:c r="AD41" s="7"/>
      <x:c r="AE41" s="7"/>
      <x:c r="AF41" s="7" t="n">
        <x:v>36</x:v>
      </x:c>
      <x:c r="AG41" s="7" t="str">
        <x:v>160 mg injection</x:v>
      </x:c>
      <x:c r="AH41" s="7" t="str">
        <x:v>structural zero</x:v>
      </x:c>
      <x:c r="AI41" s="7" t="n">
        <x:v>0</x:v>
      </x:c>
      <x:c r="AJ41" s="7" t="n">
        <x:v>30</x:v>
      </x:c>
    </x:row>
    <x:row r="42" ht="15" hidden="0" customHeight="1">
      <x:c r="A42" s="7" t="str">
        <x:v>HS molecule mix</x:v>
      </x:c>
      <x:c r="B42" s="7" t="str">
        <x:v>hs_molecule_mix.csv</x:v>
      </x:c>
      <x:c r="C42" s="7"/>
      <x:c r="D42" s="7"/>
      <x:c r="E42" s="7"/>
      <x:c r="F42" s="7"/>
      <x:c r="G42" s="7"/>
      <x:c r="H42" s="7"/>
      <x:c r="I42" s="7"/>
      <x:c r="J42" s="7"/>
      <x:c r="K42" s="7" t="str">
        <x:v>Potential share after IL-17 uptake</x:v>
      </x:c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 t="str">
        <x:v>Launch scenario</x:v>
      </x:c>
      <x:c r="AB42" s="7" t="str">
        <x:v>Adalimumab</x:v>
      </x:c>
      <x:c r="AC42" s="7"/>
      <x:c r="AD42" s="7"/>
      <x:c r="AE42" s="7"/>
      <x:c r="AF42" s="7" t="n">
        <x:v>58</x:v>
      </x:c>
      <x:c r="AG42" s="7" t="str">
        <x:v>40 mg syringe/pen</x:v>
      </x:c>
      <x:c r="AH42" s="7" t="str">
        <x:v>hypothetical</x:v>
      </x:c>
      <x:c r="AI42" s="7" t="n">
        <x:v>0.68</x:v>
      </x:c>
      <x:c r="AJ42" s="7" t="n">
        <x:v>20</x:v>
      </x:c>
    </x:row>
    <x:row r="43" ht="15" hidden="0" customHeight="1">
      <x:c r="A43" s="7" t="str">
        <x:v>HS molecule mix</x:v>
      </x:c>
      <x:c r="B43" s="7" t="str">
        <x:v>hs_molecule_mix.csv</x:v>
      </x:c>
      <x:c r="C43" s="7"/>
      <x:c r="D43" s="7"/>
      <x:c r="E43" s="7"/>
      <x:c r="F43" s="7"/>
      <x:c r="G43" s="7"/>
      <x:c r="H43" s="7"/>
      <x:c r="I43" s="7"/>
      <x:c r="J43" s="7"/>
      <x:c r="K43" s="7" t="str">
        <x:v>Potential share after broader HS access</x:v>
      </x:c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 t="str">
        <x:v>Launch scenario</x:v>
      </x:c>
      <x:c r="AB43" s="7" t="str">
        <x:v>Secukinumab</x:v>
      </x:c>
      <x:c r="AC43" s="7"/>
      <x:c r="AD43" s="7"/>
      <x:c r="AE43" s="7"/>
      <x:c r="AF43" s="7" t="n">
        <x:v>32</x:v>
      </x:c>
      <x:c r="AG43" s="7" t="str">
        <x:v>150 mg injection</x:v>
      </x:c>
      <x:c r="AH43" s="7" t="str">
        <x:v>hypothetical</x:v>
      </x:c>
      <x:c r="AI43" s="7" t="n">
        <x:v>0.22</x:v>
      </x:c>
      <x:c r="AJ43" s="7" t="n">
        <x:v>20</x:v>
      </x:c>
    </x:row>
    <x:row r="44" ht="24" hidden="0" customHeight="1">
      <x:c r="A44" s="7" t="str">
        <x:v>HS molecule mix</x:v>
      </x:c>
      <x:c r="B44" s="7" t="str">
        <x:v>hs_molecule_mix.csv</x:v>
      </x:c>
      <x:c r="C44" s="7"/>
      <x:c r="D44" s="7"/>
      <x:c r="E44" s="7"/>
      <x:c r="F44" s="7"/>
      <x:c r="G44" s="7"/>
      <x:c r="H44" s="7"/>
      <x:c r="I44" s="7"/>
      <x:c r="J44" s="7"/>
      <x:c r="K44" s="7" t="str">
        <x:v>Strategic launch scenario; not observed public utilization</x:v>
      </x:c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 t="str">
        <x:v>Launch scenario</x:v>
      </x:c>
      <x:c r="AB44" s="7" t="str">
        <x:v>Bimekizumab</x:v>
      </x:c>
      <x:c r="AC44" s="7"/>
      <x:c r="AD44" s="7"/>
      <x:c r="AE44" s="7"/>
      <x:c r="AF44" s="7" t="n">
        <x:v>36</x:v>
      </x:c>
      <x:c r="AG44" s="7" t="str">
        <x:v>160 mg injection</x:v>
      </x:c>
      <x:c r="AH44" s="7" t="str">
        <x:v>hypothetical</x:v>
      </x:c>
      <x:c r="AI44" s="7" t="n">
        <x:v>0.1</x:v>
      </x:c>
      <x:c r="AJ44" s="7" t="n">
        <x:v>20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560001373291016" hidden="0" customWidth="1"/>
    <x:col min="2" max="2" width="11" hidden="0" customWidth="1"/>
  </x:cols>
  <x:sheetData>
    <x:row r="1" ht="15" hidden="0" customHeight="1">
      <x:c r="A1" s="6" t="str">
        <x:v>check</x:v>
      </x:c>
      <x:c r="B1" s="6" t="str">
        <x:v>passed</x:v>
      </x:c>
    </x:row>
    <x:row r="2" ht="15" hidden="0" customHeight="1">
      <x:c r="A2" s="7" t="str">
        <x:v>Funnel is non-increasing</x:v>
      </x:c>
      <x:c r="B2" s="7" t="str">
        <x:v>True</x:v>
      </x:c>
    </x:row>
    <x:row r="3" ht="15" hidden="0" customHeight="1">
      <x:c r="A3" s="7" t="str">
        <x:v>HS allocation reconciles - Current evidence</x:v>
      </x:c>
      <x:c r="B3" s="7" t="str">
        <x:v>True</x:v>
      </x:c>
    </x:row>
    <x:row r="4" ht="15" hidden="0" customHeight="1">
      <x:c r="A4" s="7" t="str">
        <x:v>HS allocation reconciles - Launch scenario</x:v>
      </x:c>
      <x:c r="B4" s="7" t="str">
        <x:v>True</x:v>
      </x:c>
    </x:row>
    <x:row r="5" ht="15" hidden="0" customHeight="1">
      <x:c r="A5" s="7" t="str">
        <x:v>Bimekizumab is structural zero in current evidence</x:v>
      </x:c>
      <x:c r="B5" s="7" t="str">
        <x:v>True</x:v>
      </x:c>
    </x:row>
    <x:row r="6" ht="15" hidden="0" customHeight="1">
      <x:c r="A6" s="7" t="str">
        <x:v>No observed demand used</x:v>
      </x:c>
      <x:c r="B6" s="7" t="str">
        <x:v>True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.889999389648438" hidden="0" customWidth="1"/>
    <x:col min="3" max="3" width="29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34" hidden="0" customWidth="1"/>
  </x:cols>
  <x:sheetData>
    <x:row r="1" ht="15" hidden="0" customHeight="1">
      <x:c r="A1" s="6" t="str">
        <x:v>parameter</x:v>
      </x:c>
      <x:c r="B1" s="6" t="str">
        <x:v>stage</x:v>
      </x:c>
      <x:c r="C1" s="6" t="str">
        <x:v>spearman_rho_with_access_conversion</x:v>
      </x:c>
      <x:c r="D1" s="6" t="str">
        <x:v>absolute_rho</x:v>
      </x:c>
      <x:c r="E1" s="6" t="str">
        <x:v>p_value</x:v>
      </x:c>
      <x:c r="F1" s="6" t="str">
        <x:v>low</x:v>
      </x:c>
      <x:c r="G1" s="6" t="str">
        <x:v>mode</x:v>
      </x:c>
      <x:c r="H1" s="6" t="str">
        <x:v>high</x:v>
      </x:c>
      <x:c r="I1" s="6" t="str">
        <x:v>interpretation</x:v>
      </x:c>
    </x:row>
    <x:row r="2" ht="24" hidden="0" customHeight="1">
      <x:c r="A2" s="7" t="str">
        <x:v>authorization_and_start</x:v>
      </x:c>
      <x:c r="B2" s="7" t="str">
        <x:v>Biologic initiated</x:v>
      </x:c>
      <x:c r="C2" s="7" t="n">
        <x:v>0.6218780210019033</x:v>
      </x:c>
      <x:c r="D2" s="7" t="n">
        <x:v>0.6218780210019033</x:v>
      </x:c>
      <x:c r="E2" s="7" t="n">
        <x:v>0</x:v>
      </x:c>
      <x:c r="F2" s="7" t="n">
        <x:v>0.1</x:v>
      </x:c>
      <x:c r="G2" s="7" t="n">
        <x:v>0.25</x:v>
      </x:c>
      <x:c r="H2" s="7" t="n">
        <x:v>0.45</x:v>
      </x:c>
      <x:c r="I2" s="7" t="str">
        <x:v>Global rank association with access conversion after removing epidemiologic scale; not causal</x:v>
      </x:c>
    </x:row>
    <x:row r="3" ht="24" hidden="0" customHeight="1">
      <x:c r="A3" s="7" t="str">
        <x:v>specialist_reach</x:v>
      </x:c>
      <x:c r="B3" s="7" t="str">
        <x:v>Specialist-evaluated</x:v>
      </x:c>
      <x:c r="C3" s="7" t="n">
        <x:v>0.6202674603346031</x:v>
      </x:c>
      <x:c r="D3" s="7" t="n">
        <x:v>0.6202674603346031</x:v>
      </x:c>
      <x:c r="E3" s="7" t="n">
        <x:v>0</x:v>
      </x:c>
      <x:c r="F3" s="7" t="n">
        <x:v>0.1</x:v>
      </x:c>
      <x:c r="G3" s="7" t="n">
        <x:v>0.25</x:v>
      </x:c>
      <x:c r="H3" s="7" t="n">
        <x:v>0.45</x:v>
      </x:c>
      <x:c r="I3" s="7" t="str">
        <x:v>Global rank association with access conversion after removing epidemiologic scale; not causal</x:v>
      </x:c>
    </x:row>
    <x:row r="4" ht="24" hidden="0" customHeight="1">
      <x:c r="A4" s="7" t="str">
        <x:v>failed_conventional</x:v>
      </x:c>
      <x:c r="B4" s="7" t="str">
        <x:v>Failed conventional treatment</x:v>
      </x:c>
      <x:c r="C4" s="7" t="n">
        <x:v>0.29245925753611973</x:v>
      </x:c>
      <x:c r="D4" s="7" t="n">
        <x:v>0.29245925753611973</x:v>
      </x:c>
      <x:c r="E4" s="7" t="n">
        <x:v>0</x:v>
      </x:c>
      <x:c r="F4" s="7" t="n">
        <x:v>0.4</x:v>
      </x:c>
      <x:c r="G4" s="7" t="n">
        <x:v>0.6</x:v>
      </x:c>
      <x:c r="H4" s="7" t="n">
        <x:v>0.8</x:v>
      </x:c>
      <x:c r="I4" s="7" t="str">
        <x:v>Global rank association with access conversion after removing epidemiologic scale; not causal</x:v>
      </x:c>
    </x:row>
    <x:row r="5" ht="24" hidden="0" customHeight="1">
      <x:c r="A5" s="7" t="str">
        <x:v>year1_persistence</x:v>
      </x:c>
      <x:c r="B5" s="7" t="str">
        <x:v>Persistent patient-years</x:v>
      </x:c>
      <x:c r="C5" s="7" t="n">
        <x:v>0.2355376899023431</x:v>
      </x:c>
      <x:c r="D5" s="7" t="n">
        <x:v>0.2355376899023431</x:v>
      </x:c>
      <x:c r="E5" s="7" t="n">
        <x:v>0</x:v>
      </x:c>
      <x:c r="F5" s="7" t="n">
        <x:v>0.45</x:v>
      </x:c>
      <x:c r="G5" s="7" t="n">
        <x:v>0.65</x:v>
      </x:c>
      <x:c r="H5" s="7" t="n">
        <x:v>0.8</x:v>
      </x:c>
      <x:c r="I5" s="7" t="str">
        <x:v>Global rank association with access conversion after removing epidemiologic scale; not causal</x:v>
      </x:c>
    </x:row>
    <x:row r="6" ht="24" hidden="0" customHeight="1">
      <x:c r="A6" s="7" t="str">
        <x:v>active_disease</x:v>
      </x:c>
      <x:c r="B6" s="7" t="str">
        <x:v>Active disease</x:v>
      </x:c>
      <x:c r="C6" s="7" t="n">
        <x:v>0.12481801077831121</x:v>
      </x:c>
      <x:c r="D6" s="7" t="n">
        <x:v>0.12481801077831121</x:v>
      </x:c>
      <x:c r="E6" s="7" t="n">
        <x:v>9.512356374601366e-173</x:v>
      </x:c>
      <x:c r="F6" s="7" t="n">
        <x:v>0.7</x:v>
      </x:c>
      <x:c r="G6" s="7" t="n">
        <x:v>0.85</x:v>
      </x:c>
      <x:c r="H6" s="7" t="n">
        <x:v>0.95</x:v>
      </x:c>
      <x:c r="I6" s="7" t="str">
        <x:v>Global rank association with access conversion after removing epidemiologic scale; not causal</x:v>
      </x:c>
    </x:row>
    <x:row r="7" ht="24" hidden="0" customHeight="1">
      <x:c r="A7" s="7" t="str">
        <x:v>public_sector_share</x:v>
      </x:c>
      <x:c r="B7" s="7" t="str">
        <x:v>Public-sector clinical pool</x:v>
      </x:c>
      <x:c r="C7" s="7" t="n">
        <x:v>0.10987491845393399</x:v>
      </x:c>
      <x:c r="D7" s="7" t="n">
        <x:v>0.10987491845393399</x:v>
      </x:c>
      <x:c r="E7" s="7" t="n">
        <x:v>4.3956319508788846e-134</x:v>
      </x:c>
      <x:c r="F7" s="7" t="n">
        <x:v>0.65</x:v>
      </x:c>
      <x:c r="G7" s="7" t="n">
        <x:v>0.75</x:v>
      </x:c>
      <x:c r="H7" s="7" t="n">
        <x:v>0.85</x:v>
      </x:c>
      <x:c r="I7" s="7" t="str">
        <x:v>Global rank association with access conversion after removing epidemiologic scale; not causal</x:v>
      </x:c>
    </x:row>
    <x:row r="8" ht="24" hidden="0" customHeight="1">
      <x:c r="A8" s="7" t="str">
        <x:v>clinical_compatibility</x:v>
      </x:c>
      <x:c r="B8" s="7" t="str">
        <x:v>Clinically compatible</x:v>
      </x:c>
      <x:c r="C8" s="7" t="n">
        <x:v>0.06340315816619327</x:v>
      </x:c>
      <x:c r="D8" s="7" t="n">
        <x:v>0.06340315816619327</x:v>
      </x:c>
      <x:c r="E8" s="7" t="n">
        <x:v>1.0371561105912996e-45</x:v>
      </x:c>
      <x:c r="F8" s="7" t="n">
        <x:v>0.85</x:v>
      </x:c>
      <x:c r="G8" s="7" t="n">
        <x:v>0.93</x:v>
      </x:c>
      <x:c r="H8" s="7" t="n">
        <x:v>0.98</x:v>
      </x:c>
      <x:c r="I8" s="7" t="str">
        <x:v>Global rank association with access conversion after removing epidemiologic scale; not causal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2.670000076293945" hidden="0" customWidth="1"/>
    <x:col min="6" max="6" width="12.5600004196167" hidden="0" customWidth="1"/>
    <x:col min="7" max="7" width="12.220000267028809" hidden="0" customWidth="1"/>
    <x:col min="8" max="8" width="11" hidden="0" customWidth="1"/>
    <x:col min="9" max="9" width="11.329999923706055" hidden="0" customWidth="1"/>
    <x:col min="10" max="10" width="11" hidden="0" customWidth="1"/>
    <x:col min="11" max="11" width="11" hidden="0" customWidth="1"/>
  </x:cols>
  <x:sheetData>
    <x:row r="1" ht="15" hidden="0" customHeight="1">
      <x:c r="A1" s="6" t="str">
        <x:v>period</x:v>
      </x:c>
      <x:c r="B1" s="6" t="str">
        <x:v>institution</x:v>
      </x:c>
      <x:c r="C1" s="6" t="str">
        <x:v>molecule</x:v>
      </x:c>
      <x:c r="D1" s="6" t="str">
        <x:v>product_key</x:v>
      </x:c>
      <x:c r="E1" s="6" t="str">
        <x:v>presentation</x:v>
      </x:c>
      <x:c r="F1" s="6" t="str">
        <x:v>unit_definition</x:v>
      </x:c>
      <x:c r="G1" s="6" t="str">
        <x:v>demanded_units</x:v>
      </x:c>
      <x:c r="H1" s="6" t="str">
        <x:v>awarded_units</x:v>
      </x:c>
      <x:c r="I1" s="6" t="str">
        <x:v>delivered_units</x:v>
      </x:c>
      <x:c r="J1" s="6" t="str">
        <x:v>source_url</x:v>
      </x:c>
      <x:c r="K1" s="6" t="str">
        <x:v>source_status</x:v>
      </x:c>
    </x:row>
    <x:row r="2" ht="15" hidden="0" customHeight="1">
      <x:c r="A2" s="7" t="str">
        <x:v>YYYY</x:v>
      </x:c>
      <x:c r="B2" s="7" t="str">
        <x:v>Institution</x:v>
      </x:c>
      <x:c r="C2" s="7" t="str">
        <x:v>Adalimumab</x:v>
      </x:c>
      <x:c r="D2" s="7" t="str">
        <x:v>Key</x:v>
      </x:c>
      <x:c r="E2" s="7" t="str">
        <x:v>40 mg syringe/pen</x:v>
      </x:c>
      <x:c r="F2" s="7" t="str">
        <x:v>package or device</x:v>
      </x:c>
      <x:c r="G2" s="7"/>
      <x:c r="H2" s="7"/>
      <x:c r="I2" s="7"/>
      <x:c r="J2" s="7"/>
      <x:c r="K2" s="7" t="str">
        <x:v>Not available</x:v>
      </x:c>
    </x:row>
    <x:row r="3" ht="15" hidden="0" customHeight="1">
      <x:c r="A3" s="7" t="str">
        <x:v>YYYY</x:v>
      </x:c>
      <x:c r="B3" s="7" t="str">
        <x:v>Institution</x:v>
      </x:c>
      <x:c r="C3" s="7" t="str">
        <x:v>Secukinumab</x:v>
      </x:c>
      <x:c r="D3" s="7" t="str">
        <x:v>Key</x:v>
      </x:c>
      <x:c r="E3" s="7" t="str">
        <x:v>150 mg injection</x:v>
      </x:c>
      <x:c r="F3" s="7" t="str">
        <x:v>package or device</x:v>
      </x:c>
      <x:c r="G3" s="7"/>
      <x:c r="H3" s="7"/>
      <x:c r="I3" s="7"/>
      <x:c r="J3" s="7"/>
      <x:c r="K3" s="7" t="str">
        <x:v>Not available</x:v>
      </x:c>
    </x:row>
    <x:row r="4" ht="15" hidden="0" customHeight="1">
      <x:c r="A4" s="7" t="str">
        <x:v>YYYY</x:v>
      </x:c>
      <x:c r="B4" s="7" t="str">
        <x:v>Institution</x:v>
      </x:c>
      <x:c r="C4" s="7" t="str">
        <x:v>Bimekizumab</x:v>
      </x:c>
      <x:c r="D4" s="7" t="str">
        <x:v>Key</x:v>
      </x:c>
      <x:c r="E4" s="7" t="str">
        <x:v>160 mg injection</x:v>
      </x:c>
      <x:c r="F4" s="7" t="str">
        <x:v>package or device</x:v>
      </x:c>
      <x:c r="G4" s="7"/>
      <x:c r="H4" s="7"/>
      <x:c r="I4" s="7"/>
      <x:c r="J4" s="7"/>
      <x:c r="K4" s="7" t="str">
        <x:v>Not available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21999931335449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</x:cols>
  <x:sheetData>
    <x:row r="1" ht="15" hidden="0" customHeight="1">
      <x:c r="A1" s="6" t="str">
        <x:v>metric</x:v>
      </x:c>
      <x:c r="B1" s="6" t="str">
        <x:v>p10</x:v>
      </x:c>
      <x:c r="C1" s="6" t="str">
        <x:v>p50</x:v>
      </x:c>
      <x:c r="D1" s="6" t="str">
        <x:v>p90</x:v>
      </x:c>
      <x:c r="E1" s="6" t="str">
        <x:v>unit</x:v>
      </x:c>
    </x:row>
    <x:row r="2" ht="15" hidden="0" customHeight="1">
      <x:c r="A2" s="7" t="str">
        <x:v>Current age</x:v>
      </x:c>
      <x:c r="B2" s="7" t="n">
        <x:v>20.02160128190464</x:v>
      </x:c>
      <x:c r="C2" s="7" t="n">
        <x:v>35.08760567865046</x:v>
      </x:c>
      <x:c r="D2" s="7" t="n">
        <x:v>56.62591693929984</x:v>
      </x:c>
      <x:c r="E2" s="7" t="str">
        <x:v>years</x:v>
      </x:c>
    </x:row>
    <x:row r="3" ht="15" hidden="0" customHeight="1">
      <x:c r="A3" s="7" t="str">
        <x:v>Age at onset</x:v>
      </x:c>
      <x:c r="B3" s="7" t="n">
        <x:v>10.765821232374428</x:v>
      </x:c>
      <x:c r="C3" s="7" t="n">
        <x:v>17.18717123750193</x:v>
      </x:c>
      <x:c r="D3" s="7" t="n">
        <x:v>29.90940875866953</x:v>
      </x:c>
      <x:c r="E3" s="7" t="str">
        <x:v>years</x:v>
      </x:c>
    </x:row>
    <x:row r="4" ht="15" hidden="0" customHeight="1">
      <x:c r="A4" s="7" t="str">
        <x:v>Disease duration</x:v>
      </x:c>
      <x:c r="B4" s="7" t="n">
        <x:v>2.8756851194559583</x:v>
      </x:c>
      <x:c r="C4" s="7" t="n">
        <x:v>15.003540850424365</x:v>
      </x:c>
      <x:c r="D4" s="7" t="n">
        <x:v>37.425978358321345</x:v>
      </x:c>
      <x:c r="E4" s="7" t="str">
        <x:v>years</x:v>
      </x:c>
    </x:row>
    <x:row r="5" ht="24" hidden="0" customHeight="1">
      <x:c r="A5" s="7" t="str">
        <x:v>Common onset component</x:v>
      </x:c>
      <x:c r="B5" s="7"/>
      <x:c r="C5" s="7" t="n">
        <x:v>0.9308944825990966</x:v>
      </x:c>
      <x:c r="D5" s="7"/>
      <x:c r="E5" s="7" t="str">
        <x:v>proportion</x:v>
      </x:c>
    </x:row>
    <x:row r="6" ht="15" hidden="0" customHeight="1">
      <x:c r="A6" s="7" t="str">
        <x:v>Late onset component</x:v>
      </x:c>
      <x:c r="B6" s="7"/>
      <x:c r="C6" s="7" t="n">
        <x:v>0.06910551740090348</x:v>
      </x:c>
      <x:c r="D6" s="7"/>
      <x:c r="E6" s="7" t="str">
        <x:v>proportion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3.559999465942383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2" hidden="0" customWidth="1"/>
  </x:cols>
  <x:sheetData>
    <x:row r="1" ht="15" hidden="0" customHeight="1">
      <x:c r="A1" s="6" t="str">
        <x:v>evidence_id</x:v>
      </x:c>
      <x:c r="B1" s="6" t="str">
        <x:v>domain</x:v>
      </x:c>
      <x:c r="C1" s="6" t="str">
        <x:v>citation</x:v>
      </x:c>
      <x:c r="D1" s="6" t="str">
        <x:v>design</x:v>
      </x:c>
      <x:c r="E1" s="6" t="str">
        <x:v>population</x:v>
      </x:c>
      <x:c r="F1" s="6" t="str">
        <x:v>estimate</x:v>
      </x:c>
      <x:c r="G1" s="6" t="str">
        <x:v>model_use</x:v>
      </x:c>
      <x:c r="H1" s="6" t="str">
        <x:v>limitations</x:v>
      </x:c>
      <x:c r="I1" s="6" t="str">
        <x:v>doi_or_url</x:v>
      </x:c>
    </x:row>
    <x:row r="2" ht="24" hidden="0" customHeight="1">
      <x:c r="A2" s="7" t="str">
        <x:v>E01</x:v>
      </x:c>
      <x:c r="B2" s="7" t="str">
        <x:v>True prevalence</x:v>
      </x:c>
      <x:c r="C2" s="7" t="str">
        <x:v>Bouazzi et al. JAMA Dermatol. 2025</x:v>
      </x:c>
      <x:c r="D2" s="7" t="str">
        <x:v>Random-effects meta-analysis of 25 standardized population samples with clinical confirmation</x:v>
      </x:c>
      <x:c r="E2" s="7" t="str">
        <x:v>22,743 screened; 247 HS; 23 countries</x:v>
      </x:c>
      <x:c r="F2" s="7" t="str">
        <x:v>0.99% (95% CI 0.67%-1.46%); I2 &gt;75%; tau2 0.747</x:v>
      </x:c>
      <x:c r="G2" s="7" t="str">
        <x:v>Phase-1 prevalence posterior</x:v>
      </x:c>
      <x:c r="H2" s="7" t="str">
        <x:v>High heterogeneity; Mexico not sampled</x:v>
      </x:c>
      <x:c r="I2" s="7" t="str">
        <x:v>https://doi.org/10.1001/jamadermatol.2025.2373</x:v>
      </x:c>
    </x:row>
    <x:row r="3" ht="24" hidden="0" customHeight="1">
      <x:c r="A3" s="7" t="str">
        <x:v>E02</x:v>
      </x:c>
      <x:c r="B3" s="7" t="str">
        <x:v>Age and sex shape</x:v>
      </x:c>
      <x:c r="C3" s="7" t="str">
        <x:v>Garg et al. JAMA Dermatol. 2017</x:v>
      </x:c>
      <x:c r="D3" s="7" t="str">
        <x:v>Retrospective US EHR population analysis</x:v>
      </x:c>
      <x:c r="E3" s="7" t="str">
        <x:v>47,620 HS among 45,855,960 people</x:v>
      </x:c>
      <x:c r="F3" s="7" t="str">
        <x:v>Age-specific standardized rates 15 to 172 per 100,000; female 137 vs male 58</x:v>
      </x:c>
      <x:c r="G3" s="7" t="str">
        <x:v>Relative age curve; claims-like sex sensitivity</x:v>
      </x:c>
      <x:c r="H3" s="7" t="str">
        <x:v>Diagnosed EHR prevalence, US population, ascertainment and coding bias</x:v>
      </x:c>
      <x:c r="I3" s="7" t="str">
        <x:v>https://doi.org/10.1001/jamadermatol.2017.0201</x:v>
      </x:c>
    </x:row>
    <x:row r="4" ht="24" hidden="0" customHeight="1">
      <x:c r="A4" s="7" t="str">
        <x:v>E03</x:v>
      </x:c>
      <x:c r="B4" s="7" t="str">
        <x:v>Age at onset</x:v>
      </x:c>
      <x:c r="C4" s="7" t="str">
        <x:v>Naik et al. JAMA Dermatol. 2019</x:v>
      </x:c>
      <x:c r="D4" s="7" t="str">
        <x:v>Retrospective medical-record cohort in three North American specialty practices</x:v>
      </x:c>
      <x:c r="E4" s="7" t="str">
        <x:v>1,203 confirmed HS; 870 with self-reported onset</x:v>
      </x:c>
      <x:c r="F4" s="7" t="str">
        <x:v>79.2% common onset in late teens; 20.8% late onset in mid-40s</x:v>
      </x:c>
      <x:c r="G4" s="7" t="str">
        <x:v>Bimodal onset and disease-duration simulation</x:v>
      </x:c>
      <x:c r="H4" s="7" t="str">
        <x:v>Recall bias, referral bias, variable duration</x:v>
      </x:c>
      <x:c r="I4" s="7" t="str">
        <x:v>https://doi.org/10.1001/jamadermatol.2019.0478</x:v>
      </x:c>
    </x:row>
    <x:row r="5" ht="24" hidden="0" customHeight="1">
      <x:c r="A5" s="7" t="str">
        <x:v>E04</x:v>
      </x:c>
      <x:c r="B5" s="7" t="str">
        <x:v>Diagnostic delay</x:v>
      </x:c>
      <x:c r="C5" s="7" t="str">
        <x:v>Kokolakis et al. Dermatology. 2020</x:v>
      </x:c>
      <x:c r="D5" s="7" t="str">
        <x:v>German multicenter cross-sectional cohort</x:v>
      </x:c>
      <x:c r="E5" s="7" t="str">
        <x:v>394 diagnosed HS patients</x:v>
      </x:c>
      <x:c r="F5" s="7" t="str">
        <x:v>Mean delay 10.0 years; SD 9.6</x:v>
      </x:c>
      <x:c r="G5" s="7" t="str">
        <x:v>Log-normal time-to-diagnosis model</x:v>
      </x:c>
      <x:c r="H5" s="7" t="str">
        <x:v>Clinic-based diagnosed sample; transport to Mexico uncertain</x:v>
      </x:c>
      <x:c r="I5" s="7" t="str">
        <x:v>https://doi.org/10.1159/000508787</x:v>
      </x:c>
    </x:row>
    <x:row r="6" ht="24" hidden="0" customHeight="1">
      <x:c r="A6" s="7" t="str">
        <x:v>E05</x:v>
      </x:c>
      <x:c r="B6" s="7" t="str">
        <x:v>Current severity and natural history</x:v>
      </x:c>
      <x:c r="C6" s="7" t="str">
        <x:v>Andersen et al. JAMA Dermatol. 2026</x:v>
      </x:c>
      <x:c r="D6" s="7" t="str">
        <x:v>Municipality-based prospective cohort with 10-year follow-up</x:v>
      </x:c>
      <x:c r="E6" s="7" t="str">
        <x:v>107 people with HS at baseline</x:v>
      </x:c>
      <x:c r="F6" s="7" t="str">
        <x:v>Baseline: 53.3% mild, 18.7% moderate, 28.0% severe; 63.6% full remission at follow-up</x:v>
      </x:c>
      <x:c r="G6" s="7" t="str">
        <x:v>Discounted Dirichlet prior for current severity; progression context</x:v>
      </x:c>
      <x:c r="H6" s="7" t="str">
        <x:v>Denmark; modified Hurley; small survivor/follow-up cohort</x:v>
      </x:c>
      <x:c r="I6" s="7" t="str">
        <x:v>https://doi.org/10.1001/jamadermatol.2025.4700</x:v>
      </x:c>
    </x:row>
    <x:row r="7" ht="24" hidden="0" customHeight="1">
      <x:c r="A7" s="7" t="str">
        <x:v>E06</x:v>
      </x:c>
      <x:c r="B7" s="7" t="str">
        <x:v>Severity range</x:v>
      </x:c>
      <x:c r="C7" s="7" t="str">
        <x:v>Calao et al. PLoS One. 2018</x:v>
      </x:c>
      <x:c r="D7" s="7" t="str">
        <x:v>Population survey plus literature review</x:v>
      </x:c>
      <x:c r="E7" s="7" t="str">
        <x:v>Australian adult survey; review of diagnosed cohorts</x:v>
      </x:c>
      <x:c r="F7" s="7" t="str">
        <x:v>Reported Hurley I 24%-68%, II 28%-54%, III 2%-29%</x:v>
      </x:c>
      <x:c r="G7" s="7" t="str">
        <x:v>Severity sensitivity bounds</x:v>
      </x:c>
      <x:c r="H7" s="7" t="str">
        <x:v>Very heterogeneous settings and case ascertainment</x:v>
      </x:c>
      <x:c r="I7" s="7" t="str">
        <x:v>https://doi.org/10.1371/journal.pone.0200683</x:v>
      </x:c>
    </x:row>
    <x:row r="8" ht="24" hidden="0" customHeight="1">
      <x:c r="A8" s="7" t="str">
        <x:v>E07</x:v>
      </x:c>
      <x:c r="B8" s="7" t="str">
        <x:v>Severity definition</x:v>
      </x:c>
      <x:c r="C8" s="7" t="str">
        <x:v>Zouboulis et al. JEADV. 2024</x:v>
      </x:c>
      <x:c r="D8" s="7" t="str">
        <x:v>European S2k clinical guideline</x:v>
      </x:c>
      <x:c r="E8" s="7" t="str">
        <x:v>Guideline evidence synthesis</x:v>
      </x:c>
      <x:c r="F8" s="7" t="str">
        <x:v>IHS4: &lt;=3 mild, 4-10 moderate, &gt;=11 severe</x:v>
      </x:c>
      <x:c r="G8" s="7" t="str">
        <x:v>Definition and interpretation only</x:v>
      </x:c>
      <x:c r="H8" s="7" t="str">
        <x:v>IHS4 is not interchangeable with Hurley or modified Hurley</x:v>
      </x:c>
      <x:c r="I8" s="7" t="str">
        <x:v>https://doi.org/10.1111/jdv.19833</x:v>
      </x:c>
    </x:row>
    <x:row r="9" ht="24" hidden="0" customHeight="1">
      <x:c r="A9" s="7" t="str">
        <x:v>E08</x:v>
      </x:c>
      <x:c r="B9" s="7" t="str">
        <x:v>Mexico denominator</x:v>
      </x:c>
      <x:c r="C9" s="7" t="str">
        <x:v>PAHO country profile using UN population estimates; INEGI Census 2020 age-sex structure</x:v>
      </x:c>
      <x:c r="D9" s="7" t="str">
        <x:v>Official demographic statistics</x:v>
      </x:c>
      <x:c r="E9" s="7" t="str">
        <x:v>Mexico</x:v>
      </x:c>
      <x:c r="F9" s="7" t="str">
        <x:v>130,861,007 in 2024; 2020 census age-sex proportions rescaled to total</x:v>
      </x:c>
      <x:c r="G9" s="7" t="str">
        <x:v>Population denominator and age-sex cells</x:v>
      </x:c>
      <x:c r="H9" s="7" t="str">
        <x:v>2020 structure is rescaled, not a 2024 cohort-component projection</x:v>
      </x:c>
      <x:c r="I9" s="7" t="str">
        <x:v>https://hia.paho.org/es/perfiles-de-pais/mexico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3.890000343322754" hidden="0" customWidth="1"/>
    <x:col min="4" max="4" width="15.109999656677246" hidden="0" customWidth="1"/>
    <x:col min="5" max="5" width="11" hidden="0" customWidth="1"/>
    <x:col min="6" max="6" width="34" hidden="0" customWidth="1"/>
  </x:cols>
  <x:sheetData>
    <x:row r="1" ht="15" hidden="0" customHeight="1">
      <x:c r="A1" s="6" t="str">
        <x:v>component</x:v>
      </x:c>
      <x:c r="B1" s="6" t="str">
        <x:v>selection_bias</x:v>
      </x:c>
      <x:c r="C1" s="6" t="str">
        <x:v>measurement_bias</x:v>
      </x:c>
      <x:c r="D1" s="6" t="str">
        <x:v>Mexico_indirectness</x:v>
      </x:c>
      <x:c r="E1" s="6" t="str">
        <x:v>model_risk</x:v>
      </x:c>
      <x:c r="F1" s="6" t="str">
        <x:v>mitigation</x:v>
      </x:c>
    </x:row>
    <x:row r="2" ht="24" hidden="0" customHeight="1">
      <x:c r="A2" s="7" t="str">
        <x:v>Age curve</x:v>
      </x:c>
      <x:c r="B2" s="7" t="str">
        <x:v>High</x:v>
      </x:c>
      <x:c r="C2" s="7" t="str">
        <x:v>Moderate</x:v>
      </x:c>
      <x:c r="D2" s="7" t="str">
        <x:v>High</x:v>
      </x:c>
      <x:c r="E2" s="7" t="str">
        <x:v>High</x:v>
      </x:c>
      <x:c r="F2" s="7" t="str">
        <x:v>Use only relative curve; restandardize; preserve wide total prevalence posterior</x:v>
      </x:c>
    </x:row>
    <x:row r="3" ht="24" hidden="0" customHeight="1">
      <x:c r="A3" s="7" t="str">
        <x:v>Sex differential</x:v>
      </x:c>
      <x:c r="B3" s="7" t="str">
        <x:v>Moderate</x:v>
      </x:c>
      <x:c r="C3" s="7" t="str">
        <x:v>Moderate</x:v>
      </x:c>
      <x:c r="D3" s="7" t="str">
        <x:v>High</x:v>
      </x:c>
      <x:c r="E3" s="7" t="str">
        <x:v>High</x:v>
      </x:c>
      <x:c r="F3" s="7" t="str">
        <x:v>GHiSA-aligned base RR 1.20 plus no-difference and EHR sensitivity</x:v>
      </x:c>
    </x:row>
    <x:row r="4" ht="24" hidden="0" customHeight="1">
      <x:c r="A4" s="7" t="str">
        <x:v>Onset distribution</x:v>
      </x:c>
      <x:c r="B4" s="7" t="str">
        <x:v>High</x:v>
      </x:c>
      <x:c r="C4" s="7" t="str">
        <x:v>High</x:v>
      </x:c>
      <x:c r="D4" s="7" t="str">
        <x:v>High</x:v>
      </x:c>
      <x:c r="E4" s="7" t="str">
        <x:v>High</x:v>
      </x:c>
      <x:c r="F4" s="7" t="str">
        <x:v>Use for duration only; label self-report; do not infer incidence</x:v>
      </x:c>
    </x:row>
    <x:row r="5" ht="24" hidden="0" customHeight="1">
      <x:c r="A5" s="7" t="str">
        <x:v>Diagnostic delay</x:v>
      </x:c>
      <x:c r="B5" s="7" t="str">
        <x:v>High</x:v>
      </x:c>
      <x:c r="C5" s="7" t="str">
        <x:v>Moderate</x:v>
      </x:c>
      <x:c r="D5" s="7" t="str">
        <x:v>High</x:v>
      </x:c>
      <x:c r="E5" s="7" t="str">
        <x:v>High</x:v>
      </x:c>
      <x:c r="F5" s="7" t="str">
        <x:v>7-, 10-, and 14-year scenarios; do not call output observed diagnosis rate</x:v>
      </x:c>
    </x:row>
    <x:row r="6" ht="24" hidden="0" customHeight="1">
      <x:c r="A6" s="7" t="str">
        <x:v>Severity prior</x:v>
      </x:c>
      <x:c r="B6" s="7" t="str">
        <x:v>Moderate</x:v>
      </x:c>
      <x:c r="C6" s="7" t="str">
        <x:v>Moderate</x:v>
      </x:c>
      <x:c r="D6" s="7" t="str">
        <x:v>High</x:v>
      </x:c>
      <x:c r="E6" s="7" t="str">
        <x:v>High</x:v>
      </x:c>
      <x:c r="F6" s="7" t="str">
        <x:v>Discount effective sample size and show literature-bound scenarios</x:v>
      </x:c>
    </x:row>
    <x:row r="7" ht="36" hidden="0" customHeight="1">
      <x:c r="A7" s="7" t="str">
        <x:v>Eligibility proxy</x:v>
      </x:c>
      <x:c r="B7" s="7" t="str">
        <x:v>Not applicable</x:v>
      </x:c>
      <x:c r="C7" s="7" t="str">
        <x:v>High</x:v>
      </x:c>
      <x:c r="D7" s="7" t="str">
        <x:v>High</x:v>
      </x:c>
      <x:c r="E7" s="7" t="str">
        <x:v>High</x:v>
      </x:c>
      <x:c r="F7" s="7" t="str">
        <x:v>Stop at diagnosed moderate/severe; exclude access, label criteria, contraindications, treatment history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1" hidden="0" customWidth="1"/>
    <x:col min="3" max="3" width="11" hidden="0" customWidth="1"/>
    <x:col min="4" max="4" width="11" hidden="0" customWidth="1"/>
  </x:cols>
  <x:sheetData>
    <x:row r="1" ht="15" hidden="0" customHeight="1">
      <x:c r="A1" s="6" t="str">
        <x:v>check</x:v>
      </x:c>
      <x:c r="B1" s="6" t="str">
        <x:v>value</x:v>
      </x:c>
      <x:c r="C1" s="6" t="str">
        <x:v>expected</x:v>
      </x:c>
      <x:c r="D1" s="6" t="str">
        <x:v>status</x:v>
      </x:c>
    </x:row>
    <x:row r="2" ht="15" hidden="0" customHeight="1">
      <x:c r="A2" s="7" t="str">
        <x:v>Population cells reconcile</x:v>
      </x:c>
      <x:c r="B2" s="7" t="n">
        <x:v>130861007</x:v>
      </x:c>
      <x:c r="C2" s="7" t="n">
        <x:v>130861007</x:v>
      </x:c>
      <x:c r="D2" s="7" t="str">
        <x:v>PASS</x:v>
      </x:c>
    </x:row>
    <x:row r="3" ht="15" hidden="0" customHeight="1">
      <x:c r="A3" s="7" t="str">
        <x:v>Draw-level age-sex cases reconcile</x:v>
      </x:c>
      <x:c r="B3" s="7" t="n">
        <x:v>1.862645149230957e-8</x:v>
      </x:c>
      <x:c r="C3" s="7" t="n">
        <x:v>0</x:v>
      </x:c>
      <x:c r="D3" s="7" t="str">
        <x:v>PASS</x:v>
      </x:c>
    </x:row>
    <x:row r="4" ht="15" hidden="0" customHeight="1">
      <x:c r="A4" s="7" t="str">
        <x:v>Funnel diagnosed &lt;= prevalent</x:v>
      </x:c>
      <x:c r="B4" s="7" t="n">
        <x:v>1</x:v>
      </x:c>
      <x:c r="C4" s="7" t="n">
        <x:v>1</x:v>
      </x:c>
      <x:c r="D4" s="7" t="str">
        <x:v>PASS</x:v>
      </x:c>
    </x:row>
    <x:row r="5" ht="15" hidden="0" customHeight="1">
      <x:c r="A5" s="7" t="str">
        <x:v>Moderate/severe proxy &lt;= diagnosed</x:v>
      </x:c>
      <x:c r="B5" s="7" t="n">
        <x:v>1</x:v>
      </x:c>
      <x:c r="C5" s="7" t="n">
        <x:v>1</x:v>
      </x:c>
      <x:c r="D5" s="7" t="str">
        <x:v>PASS</x:v>
      </x:c>
    </x:row>
    <x:row r="6" ht="15" hidden="0" customHeight="1">
      <x:c r="A6" s="7" t="str">
        <x:v>Severity shares sum to one</x:v>
      </x:c>
      <x:c r="B6" s="7" t="n">
        <x:v>3.3306690738754696e-16</x:v>
      </x:c>
      <x:c r="C6" s="7" t="n">
        <x:v>0</x:v>
      </x:c>
      <x:c r="D6" s="7" t="str">
        <x:v>PASS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.11000061035156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15" hidden="0" customHeight="1">
      <x:c r="A1" s="6" t="str">
        <x:v>metric</x:v>
      </x:c>
      <x:c r="B1" s="6" t="str">
        <x:v>mean</x:v>
      </x:c>
      <x:c r="C1" s="6" t="str">
        <x:v>sd</x:v>
      </x:c>
      <x:c r="D1" s="6" t="str">
        <x:v>q025</x:v>
      </x:c>
      <x:c r="E1" s="6" t="str">
        <x:v>q10</x:v>
      </x:c>
      <x:c r="F1" s="6" t="str">
        <x:v>q25</x:v>
      </x:c>
      <x:c r="G1" s="6" t="str">
        <x:v>median</x:v>
      </x:c>
      <x:c r="H1" s="6" t="str">
        <x:v>q75</x:v>
      </x:c>
      <x:c r="I1" s="6" t="str">
        <x:v>q90</x:v>
      </x:c>
      <x:c r="J1" s="6" t="str">
        <x:v>q975</x:v>
      </x:c>
    </x:row>
    <x:row r="2" ht="15" hidden="0" customHeight="1">
      <x:c r="A2" s="7" t="str">
        <x:v>tau_logit</x:v>
      </x:c>
      <x:c r="B2" s="7" t="n">
        <x:v>0.9750292561794093</x:v>
      </x:c>
      <x:c r="C2" s="7" t="n">
        <x:v>0.1786139685858136</x:v>
      </x:c>
      <x:c r="D2" s="7" t="n">
        <x:v>0.6812271150102196</x:v>
      </x:c>
      <x:c r="E2" s="7" t="n">
        <x:v>0.7589048000356243</x:v>
      </x:c>
      <x:c r="F2" s="7" t="n">
        <x:v>0.8435035968083486</x:v>
      </x:c>
      <x:c r="G2" s="7" t="n">
        <x:v>0.9554933945491932</x:v>
      </x:c>
      <x:c r="H2" s="7" t="n">
        <x:v>1.0905504496667253</x:v>
      </x:c>
      <x:c r="I2" s="7" t="n">
        <x:v>1.220710157171738</x:v>
      </x:c>
      <x:c r="J2" s="7" t="n">
        <x:v>1.3619705379307998</x:v>
      </x:c>
    </x:row>
    <x:row r="3" ht="15" hidden="0" customHeight="1">
      <x:c r="A3" s="7" t="str">
        <x:v>female_odds_ratio</x:v>
      </x:c>
      <x:c r="B3" s="7" t="n">
        <x:v>1.2343098186067174</x:v>
      </x:c>
      <x:c r="C3" s="7" t="n">
        <x:v>0.5819237551524871</x:v>
      </x:c>
      <x:c r="D3" s="7" t="n">
        <x:v>0.46484681500875386</x:v>
      </x:c>
      <x:c r="E3" s="7" t="n">
        <x:v>0.6304282143431352</x:v>
      </x:c>
      <x:c r="F3" s="7" t="n">
        <x:v>0.8285451825563126</x:v>
      </x:c>
      <x:c r="G3" s="7" t="n">
        <x:v>1.1218260735683039</x:v>
      </x:c>
      <x:c r="H3" s="7" t="n">
        <x:v>1.5069192378011154</x:v>
      </x:c>
      <x:c r="I3" s="7" t="n">
        <x:v>1.983156594630881</x:v>
      </x:c>
      <x:c r="J3" s="7" t="n">
        <x:v>2.6841097570797836</x:v>
      </x:c>
    </x:row>
    <x:row r="4" ht="15" hidden="0" customHeight="1">
      <x:c r="A4" s="7" t="str">
        <x:v>reference_standardized_prevalence</x:v>
      </x:c>
      <x:c r="B4" s="7" t="n">
        <x:v>0.009031238582775904</x:v>
      </x:c>
      <x:c r="C4" s="7" t="n">
        <x:v>0.002138827897309264</x:v>
      </x:c>
      <x:c r="D4" s="7" t="n">
        <x:v>0.005393450654636683</x:v>
      </x:c>
      <x:c r="E4" s="7" t="n">
        <x:v>0.006329255950225597</x:v>
      </x:c>
      <x:c r="F4" s="7" t="n">
        <x:v>0.007439126754509941</x:v>
      </x:c>
      <x:c r="G4" s="7" t="n">
        <x:v>0.008904932529426873</x:v>
      </x:c>
      <x:c r="H4" s="7" t="n">
        <x:v>0.010503276885296394</x:v>
      </x:c>
      <x:c r="I4" s="7" t="n">
        <x:v>0.011959834923229953</x:v>
      </x:c>
      <x:c r="J4" s="7" t="n">
        <x:v>0.013411114839252204</x:v>
      </x:c>
    </x:row>
    <x:row r="5" ht="15" hidden="0" customHeight="1">
      <x:c r="A5" s="7" t="str">
        <x:v>population_mean_prevalence</x:v>
      </x:c>
      <x:c r="B5" s="7" t="n">
        <x:v>0.014187240970518237</x:v>
      </x:c>
      <x:c r="C5" s="7" t="n">
        <x:v>0.004082127690808408</x:v>
      </x:c>
      <x:c r="D5" s="7" t="n">
        <x:v>0.008987408094840367</x:v>
      </x:c>
      <x:c r="E5" s="7" t="n">
        <x:v>0.01022028682658042</x:v>
      </x:c>
      <x:c r="F5" s="7" t="n">
        <x:v>0.011285372015179616</x:v>
      </x:c>
      <x:c r="G5" s="7" t="n">
        <x:v>0.012768945930860335</x:v>
      </x:c>
      <x:c r="H5" s="7" t="n">
        <x:v>0.01668473830340959</x:v>
      </x:c>
      <x:c r="I5" s="7" t="n">
        <x:v>0.020859861888055546</x:v>
      </x:c>
      <x:c r="J5" s="7" t="n">
        <x:v>0.023323580965971587</x:v>
      </x:c>
    </x:row>
    <x:row r="6" ht="15" hidden="0" customHeight="1">
      <x:c r="A6" s="7" t="str">
        <x:v>mexico_demographic_prevalence</x:v>
      </x:c>
      <x:c r="B6" s="7" t="n">
        <x:v>0.009239488502919824</x:v>
      </x:c>
      <x:c r="C6" s="7" t="n">
        <x:v>0.002204324464428387</x:v>
      </x:c>
      <x:c r="D6" s="7" t="n">
        <x:v>0.005501643105527703</x:v>
      </x:c>
      <x:c r="E6" s="7" t="n">
        <x:v>0.006472693311529581</x:v>
      </x:c>
      <x:c r="F6" s="7" t="n">
        <x:v>0.007592551020745035</x:v>
      </x:c>
      <x:c r="G6" s="7" t="n">
        <x:v>0.00908955178281157</x:v>
      </x:c>
      <x:c r="H6" s="7" t="n">
        <x:v>0.010759630145492376</x:v>
      </x:c>
      <x:c r="I6" s="7" t="n">
        <x:v>0.012259905217525518</x:v>
      </x:c>
      <x:c r="J6" s="7" t="n">
        <x:v>0.013777822746880997</x:v>
      </x:c>
    </x:row>
    <x:row r="7" ht="15" hidden="0" customHeight="1">
      <x:c r="A7" s="7" t="str">
        <x:v>demographic_adjustment_ratio</x:v>
      </x:c>
      <x:c r="B7" s="7" t="n">
        <x:v>1.0228247852872936</x:v>
      </x:c>
      <x:c r="C7" s="7" t="n">
        <x:v>0.018336882354332628</x:v>
      </x:c>
      <x:c r="D7" s="7" t="n">
        <x:v>0.9864568496236874</x:v>
      </x:c>
      <x:c r="E7" s="7" t="n">
        <x:v>0.9992308869717422</x:v>
      </x:c>
      <x:c r="F7" s="7" t="n">
        <x:v>1.0103717895676598</x:v>
      </x:c>
      <x:c r="G7" s="7" t="n">
        <x:v>1.023070387155697</x:v>
      </x:c>
      <x:c r="H7" s="7" t="n">
        <x:v>1.0351472507386905</x:v>
      </x:c>
      <x:c r="I7" s="7" t="n">
        <x:v>1.0463947487620122</x:v>
      </x:c>
      <x:c r="J7" s="7" t="n">
        <x:v>1.0579503107144113</x:v>
      </x:c>
    </x:row>
    <x:row r="8" ht="15" hidden="0" customHeight="1">
      <x:c r="A8" s="7" t="str">
        <x:v>mexico_transfer_prevalence</x:v>
      </x:c>
      <x:c r="B8" s="7" t="n">
        <x:v>0.015342492891430245</x:v>
      </x:c>
      <x:c r="C8" s="7" t="n">
        <x:v>0.02130968911610615</x:v>
      </x:c>
      <x:c r="D8" s="7" t="n">
        <x:v>0.0010750243119315753</x:v>
      </x:c>
      <x:c r="E8" s="7" t="n">
        <x:v>0.002336162129197045</x:v>
      </x:c>
      <x:c r="F8" s="7" t="n">
        <x:v>0.004498298050946507</x:v>
      </x:c>
      <x:c r="G8" s="7" t="n">
        <x:v>0.008986085456096693</x:v>
      </x:c>
      <x:c r="H8" s="7" t="n">
        <x:v>0.01792318174925132</x:v>
      </x:c>
      <x:c r="I8" s="7" t="n">
        <x:v>0.03354228312958307</x:v>
      </x:c>
      <x:c r="J8" s="7" t="n">
        <x:v>0.06978490924532053</x:v>
      </x:c>
    </x:row>
    <x:row r="9" ht="15" hidden="0" customHeight="1">
      <x:c r="A9" s="7" t="str">
        <x:v>mexico_prevalent_people</x:v>
      </x:c>
      <x:c r="B9" s="7" t="n">
        <x:v>2007734.0696629034</x:v>
      </x:c>
      <x:c r="C9" s="7" t="n">
        <x:v>2788607.3765905905</x:v>
      </x:c>
      <x:c r="D9" s="7" t="n">
        <x:v>140678.76400884805</x:v>
      </x:c>
      <x:c r="E9" s="7" t="n">
        <x:v>305712.5287419894</x:v>
      </x:c>
      <x:c r="F9" s="7" t="n">
        <x:v>588651.8127329972</x:v>
      </x:c>
      <x:c r="G9" s="7" t="n">
        <x:v>1175928.1917728675</x:v>
      </x:c>
      <x:c r="H9" s="7" t="n">
        <x:v>2345445.6123510487</x:v>
      </x:c>
      <x:c r="I9" s="7" t="n">
        <x:v>4389376.947416353</x:v>
      </x:c>
      <x:c r="J9" s="7" t="n">
        <x:v>9132123.497246254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5600004196167" hidden="0" customWidth="1"/>
    <x:col min="2" max="2" width="14.670000076293945" hidden="0" customWidth="1"/>
    <x:col min="3" max="3" width="14.670000076293945" hidden="0" customWidth="1"/>
    <x:col min="4" max="4" width="14.670000076293945" hidden="0" customWidth="1"/>
    <x:col min="5" max="5" width="16" hidden="0" customWidth="1"/>
    <x:col min="6" max="6" width="23.440000534057617" hidden="0" customWidth="1"/>
  </x:cols>
  <x:sheetData>
    <x:row r="1" ht="15" hidden="0" customHeight="1">
      <x:c r="A1" s="6" t="str">
        <x:v>transport_sd_logit</x:v>
      </x:c>
      <x:c r="B1" s="6" t="str">
        <x:v>p10_prevalence_pct</x:v>
      </x:c>
      <x:c r="C1" s="6" t="str">
        <x:v>p50_prevalence_pct</x:v>
      </x:c>
      <x:c r="D1" s="6" t="str">
        <x:v>p90_prevalence_pct</x:v>
      </x:c>
      <x:c r="E1" s="6" t="str">
        <x:v>p50_prevalent_people</x:v>
      </x:c>
      <x:c r="F1" s="6" t="str">
        <x:v>interpretation</x:v>
      </x:c>
    </x:row>
    <x:row r="2" ht="15" hidden="0" customHeight="1">
      <x:c r="A2" s="7" t="n">
        <x:v>0</x:v>
      </x:c>
      <x:c r="B2" s="7" t="n">
        <x:v>0.2507302221136597</x:v>
      </x:c>
      <x:c r="C2" s="7" t="n">
        <x:v>0.9039683964667955</x:v>
      </x:c>
      <x:c r="D2" s="7" t="n">
        <x:v>3.141809391150463</x:v>
      </x:c>
      <x:c r="E2" s="7" t="n">
        <x:v>1182942</x:v>
      </x:c>
      <x:c r="F2" s="7" t="str">
        <x:v>No extra Mexico transport variance</x:v>
      </x:c>
    </x:row>
    <x:row r="3" ht="15" hidden="0" customHeight="1">
      <x:c r="A3" s="7" t="n">
        <x:v>0.35</x:v>
      </x:c>
      <x:c r="B3" s="7" t="n">
        <x:v>0.23187616101406128</x:v>
      </x:c>
      <x:c r="C3" s="7" t="n">
        <x:v>0.903566783816694</x:v>
      </x:c>
      <x:c r="D3" s="7" t="n">
        <x:v>3.3989098739191226</x:v>
      </x:c>
      <x:c r="E3" s="7" t="n">
        <x:v>1182417</x:v>
      </x:c>
      <x:c r="F3" s="7" t="str">
        <x:v>Base</x:v>
      </x:c>
    </x:row>
    <x:row r="4" ht="15" hidden="0" customHeight="1">
      <x:c r="A4" s="7" t="n">
        <x:v>0.7</x:v>
      </x:c>
      <x:c r="B4" s="7" t="n">
        <x:v>0.18870497787620968</x:v>
      </x:c>
      <x:c r="C4" s="7" t="n">
        <x:v>0.902488809549668</x:v>
      </x:c>
      <x:c r="D4" s="7" t="n">
        <x:v>4.179930243464006</x:v>
      </x:c>
      <x:c r="E4" s="7" t="n">
        <x:v>1181006</x:v>
      </x:c>
      <x:c r="F4" s="7" t="str">
        <x:v>High transport uncertainty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34" hidden="0" customWidth="1"/>
    <x:col min="5" max="5" width="34" hidden="0" customWidth="1"/>
    <x:col min="6" max="6" width="11" hidden="0" customWidth="1"/>
    <x:col min="7" max="7" width="11" hidden="0" customWidth="1"/>
    <x:col min="8" max="8" width="11.329999923706055" hidden="0" customWidth="1"/>
    <x:col min="9" max="9" width="11" hidden="0" customWidth="1"/>
    <x:col min="10" max="10" width="11" hidden="0" customWidth="1"/>
    <x:col min="11" max="11" width="18" hidden="0" customWidth="1"/>
    <x:col min="12" max="12" width="23" hidden="0" customWidth="1"/>
    <x:col min="13" max="13" width="34" hidden="0" customWidth="1"/>
    <x:col min="14" max="14" width="34" hidden="0" customWidth="1"/>
    <x:col min="15" max="15" width="26.889999389648438" hidden="0" customWidth="1"/>
  </x:cols>
  <x:sheetData>
    <x:row r="1" ht="15" hidden="0" customHeight="1">
      <x:c r="A1" s="6" t="str">
        <x:v>study_id</x:v>
      </x:c>
      <x:c r="B1" s="6" t="str">
        <x:v>country</x:v>
      </x:c>
      <x:c r="C1" s="6" t="str">
        <x:v>year</x:v>
      </x:c>
      <x:c r="D1" s="6" t="str">
        <x:v>setting</x:v>
      </x:c>
      <x:c r="E1" s="6" t="str">
        <x:v>method</x:v>
      </x:c>
      <x:c r="F1" s="6" t="str">
        <x:v>cases</x:v>
      </x:c>
      <x:c r="G1" s="6" t="str">
        <x:v>denominator</x:v>
      </x:c>
      <x:c r="H1" s="6" t="str">
        <x:v>prevalence_pct</x:v>
      </x:c>
      <x:c r="I1" s="6" t="str">
        <x:v>ci_low_pct</x:v>
      </x:c>
      <x:c r="J1" s="6" t="str">
        <x:v>ci_high_pct</x:v>
      </x:c>
      <x:c r="K1" s="6" t="str">
        <x:v>diagnostic_confirmation</x:v>
      </x:c>
      <x:c r="L1" s="6" t="str">
        <x:v>model_role</x:v>
      </x:c>
      <x:c r="M1" s="6" t="str">
        <x:v>principal_limitation</x:v>
      </x:c>
      <x:c r="N1" s="6" t="str">
        <x:v>doi_or_url</x:v>
      </x:c>
      <x:c r="O1" s="6"/>
    </x:row>
    <x:row r="2" ht="36" hidden="0" customHeight="1">
      <x:c r="A2" s="7" t="str">
        <x:v>LA_CHL_GHISA_2025</x:v>
      </x:c>
      <x:c r="B2" s="7" t="str">
        <x:v>Chile</x:v>
      </x:c>
      <x:c r="C2" s="7" t="n">
        <x:v>2025</x:v>
      </x:c>
      <x:c r="D2" s="7" t="str">
        <x:v>Adult companions in non-dermatology secondary-care waiting rooms, Santiago</x:v>
      </x:c>
      <x:c r="E2" s="7" t="str">
        <x:v>Validated screening questionnaire followed by clinical examination of screen-positive and sampled screen-negative participants</x:v>
      </x:c>
      <x:c r="F2" s="7" t="n">
        <x:v>12</x:v>
      </x:c>
      <x:c r="G2" s="7" t="n">
        <x:v>500</x:v>
      </x:c>
      <x:c r="H2" s="7" t="n">
        <x:v>2.4</x:v>
      </x:c>
      <x:c r="I2" s="7" t="n">
        <x:v>1.4</x:v>
      </x:c>
      <x:c r="J2" s="7" t="n">
        <x:v>4.1</x:v>
      </x:c>
      <x:c r="K2" s="7" t="str">
        <x:v>Clinical examination</x:v>
      </x:c>
      <x:c r="L2" s="7" t="str">
        <x:v>Included in primary GHiSA model</x:v>
      </x:c>
      <x:c r="M2" s="7" t="str">
        <x:v>Convenience-like health-center population; city sample; all detected cases were female; not nationally representative</x:v>
      </x:c>
      <x:c r="N2" s="7" t="str">
        <x:v>https://doi.org/10.1159/000538423</x:v>
      </x:c>
      <x:c r="O2" s="7"/>
    </x:row>
    <x:row r="3" ht="36" hidden="0" customHeight="1">
      <x:c r="A3" s="7" t="str">
        <x:v>LA_BRA_PHONE_2018</x:v>
      </x:c>
      <x:c r="B3" s="7" t="str">
        <x:v>Brazil</x:v>
      </x:c>
      <x:c r="C3" s="7" t="n">
        <x:v>2018</x:v>
      </x:c>
      <x:c r="D3" s="7" t="str">
        <x:v>Nationwide residential telephone sample, 87 municipalities</x:v>
      </x:c>
      <x:c r="E3" s="7" t="str">
        <x:v>Telephone survey using symptom questions</x:v>
      </x:c>
      <x:c r="F3" s="7"/>
      <x:c r="G3" s="7" t="n">
        <x:v>8650</x:v>
      </x:c>
      <x:c r="H3" s="7" t="n">
        <x:v>0.41</x:v>
      </x:c>
      <x:c r="I3" s="7"/>
      <x:c r="J3" s="7"/>
      <x:c r="K3" s="7" t="str">
        <x:v>Questionnaire/self-report</x:v>
      </x:c>
      <x:c r="L3" s="7" t="str">
        <x:v>Sensitivity benchmark only</x:v>
      </x:c>
      <x:c r="M3" s="7" t="str">
        <x:v>Telephone coverage and self-report; no universal clinical confirmation; publications give inconsistent descriptions of initial vs analyzed sample size</x:v>
      </x:c>
      <x:c r="N3" s="7" t="str">
        <x:v>https://doi.org/10.1111/ijd.13937</x:v>
      </x:c>
      <x:c r="O3" s="7"/>
    </x:row>
    <x:row r="4" ht="48" hidden="0" customHeight="1">
      <x:c r="A4" s="7" t="str">
        <x:v>LA_COL_REG_2021</x:v>
      </x:c>
      <x:c r="B4" s="7" t="str">
        <x:v>Colombia</x:v>
      </x:c>
      <x:c r="C4" s="7" t="n">
        <x:v>2021</x:v>
      </x:c>
      <x:c r="D4" s="7" t="str">
        <x:v>National physician-diagnosis registry, 2013-2017</x:v>
      </x:c>
      <x:c r="E4" s="7" t="str">
        <x:v>Administrative records; ICD-10 L73.2</x:v>
      </x:c>
      <x:c r="F4" s="7" t="n">
        <x:v>3667</x:v>
      </x:c>
      <x:c r="G4" s="7"/>
      <x:c r="H4" s="7" t="n">
        <x:v>0.0074</x:v>
      </x:c>
      <x:c r="I4" s="7"/>
      <x:c r="J4" s="7"/>
      <x:c r="K4" s="7" t="str">
        <x:v>Physician-coded diagnosis</x:v>
      </x:c>
      <x:c r="L4" s="7" t="str">
        <x:v>Observed diagnosed floor only</x:v>
      </x:c>
      <x:c r="M4" s="7" t="str">
        <x:v>Captures recognized/coded cases rather than community disease; affected by access and coding; period prevalence denominator not supplied as a study cohort</x:v>
      </x:c>
      <x:c r="N4" s="7" t="str">
        <x:v>https://pubmed.ncbi.nlm.nih.gov/34861917/</x:v>
      </x:c>
      <x:c r="O4" s="7"/>
    </x:row>
    <x:row r="5" ht="36" hidden="0" customHeight="1">
      <x:c r="A5" s="7" t="str">
        <x:v>LA_ARG_HOSP_2019</x:v>
      </x:c>
      <x:c r="B5" s="7" t="str">
        <x:v>Argentina</x:v>
      </x:c>
      <x:c r="C5" s="7" t="n">
        <x:v>2019</x:v>
      </x:c>
      <x:c r="D5" s="7" t="str">
        <x:v>Hospital Italiano de Buenos Aires, electronic records, 2012-2017</x:v>
      </x:c>
      <x:c r="E5" s="7" t="str">
        <x:v>Retrospective record search with chart confirmation</x:v>
      </x:c>
      <x:c r="F5" s="7" t="n">
        <x:v>66</x:v>
      </x:c>
      <x:c r="G5" s="7"/>
      <x:c r="H5" s="7" t="n">
        <x:v>0.02</x:v>
      </x:c>
      <x:c r="I5" s="7"/>
      <x:c r="J5" s="7"/>
      <x:c r="K5" s="7" t="str">
        <x:v>Chart-confirmed diagnosis</x:v>
      </x:c>
      <x:c r="L5" s="7" t="str">
        <x:v>Observed health-system floor only</x:v>
      </x:c>
      <x:c r="M5" s="7" t="str">
        <x:v>Closed hospital population; only treated/recorded disease; code/problem-list PPV was 37% (66/180); not population representative</x:v>
      </x:c>
      <x:c r="N5" s="7" t="str">
        <x:v>https://doi.org/10.1016/j.ad.2019.01.004</x:v>
      </x:c>
      <x:c r="O5" s="7"/>
    </x:row>
    <x:row r="6" ht="36" hidden="0" customHeight="1">
      <x:c r="A6" s="7" t="str">
        <x:v>MX_CONSENSUS_2019</x:v>
      </x:c>
      <x:c r="B6" s="7" t="str">
        <x:v>Mexico</x:v>
      </x:c>
      <x:c r="C6" s="7" t="n">
        <x:v>2019</x:v>
      </x:c>
      <x:c r="D6" s="7" t="str">
        <x:v>Mexican multidisciplinary expert consensus</x:v>
      </x:c>
      <x:c r="E6" s="7" t="str">
        <x:v>Systematic evidence review and unanimous expert recommendations</x:v>
      </x:c>
      <x:c r="F6" s="7"/>
      <x:c r="G6" s="7"/>
      <x:c r="H6" s="7"/>
      <x:c r="I6" s="7" t="n">
        <x:v>0</x:v>
      </x:c>
      <x:c r="J6" s="7"/>
      <x:c r="K6" s="7"/>
      <x:c r="L6" s="7" t="str">
        <x:v>Not applicable</x:v>
      </x:c>
      <x:c r="M6" s="7" t="str">
        <x:v>Patient-journey and treatment-path source</x:v>
      </x:c>
      <x:c r="N6" s="7" t="str">
        <x:v>Not an epidemiologic prevalence study; no nationally representative Mexican prevalence estimate identified</x:v>
      </x:c>
      <x:c r="O6" s="7" t="str">
        <x:v>https://doi.org/10.24245/mim.v35i4.2909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220000267028809" hidden="0" customWidth="1"/>
    <x:col min="2" max="2" width="34" hidden="0" customWidth="1"/>
    <x:col min="3" max="3" width="16.219999313354492" hidden="0" customWidth="1"/>
    <x:col min="4" max="4" width="34" hidden="0" customWidth="1"/>
    <x:col min="5" max="5" width="11.109999656677246" hidden="0" customWidth="1"/>
    <x:col min="6" max="6" width="34" hidden="0" customWidth="1"/>
  </x:cols>
  <x:sheetData>
    <x:row r="1" ht="15" hidden="0" customHeight="1">
      <x:c r="A1" s="6" t="str">
        <x:v>evidence_id</x:v>
      </x:c>
      <x:c r="B1" s="6" t="str">
        <x:v>evidence_type</x:v>
      </x:c>
      <x:c r="C1" s="6" t="str">
        <x:v>geography</x:v>
      </x:c>
      <x:c r="D1" s="6" t="str">
        <x:v>estimate</x:v>
      </x:c>
      <x:c r="E1" s="6" t="str">
        <x:v>primary_model</x:v>
      </x:c>
      <x:c r="F1" s="6" t="str">
        <x:v>use_rationale</x:v>
      </x:c>
    </x:row>
    <x:row r="2" ht="24" hidden="0" customHeight="1">
      <x:c r="A2" s="7" t="str">
        <x:v>GHISA_2025</x:v>
      </x:c>
      <x:c r="B2" s="7" t="str">
        <x:v>Standardized clinically confirmed cross-sectional studies</x:v>
      </x:c>
      <x:c r="C2" s="7" t="str">
        <x:v>23 countries</x:v>
      </x:c>
      <x:c r="D2" s="7" t="str">
        <x:v>0.99% published pooled estimate (95% CI 0.67%-1.46%)</x:v>
      </x:c>
      <x:c r="E2" s="7" t="str">
        <x:v>Yes</x:v>
      </x:c>
      <x:c r="F2" s="7" t="str">
        <x:v>Most comparable case ascertainment; individual country counts available</x:v>
      </x:c>
    </x:row>
    <x:row r="3" ht="24" hidden="0" customHeight="1">
      <x:c r="A3" s="7" t="str">
        <x:v>JFRI_2021</x:v>
      </x:c>
      <x:c r="B3" s="7" t="str">
        <x:v>Systematic review and meta-regression</x:v>
      </x:c>
      <x:c r="C3" s="7" t="str">
        <x:v>Global selected settings</x:v>
      </x:c>
      <x:c r="D3" s="7" t="str">
        <x:v>0.40% overall; 0.30% population-based; 1.70% clinical</x:v>
      </x:c>
      <x:c r="E3" s="7" t="str">
        <x:v>No</x:v>
      </x:c>
      <x:c r="F3" s="7" t="str">
        <x:v>External benchmark because component studies and definitions overlap/are heterogeneous</x:v>
      </x:c>
    </x:row>
    <x:row r="4" ht="24" hidden="0" customHeight="1">
      <x:c r="A4" s="7" t="str">
        <x:v>BRAZIL_2018</x:v>
      </x:c>
      <x:c r="B4" s="7" t="str">
        <x:v>Telephone population survey</x:v>
      </x:c>
      <x:c r="C4" s="7" t="str">
        <x:v>Brazil</x:v>
      </x:c>
      <x:c r="D4" s="7" t="str">
        <x:v>0.41%</x:v>
      </x:c>
      <x:c r="E4" s="7" t="str">
        <x:v>No</x:v>
      </x:c>
      <x:c r="F4" s="7" t="str">
        <x:v>Latin-American sensitivity anchor; no mandatory clinical confirmation</x:v>
      </x:c>
    </x:row>
    <x:row r="5" ht="24" hidden="0" customHeight="1">
      <x:c r="A5" s="7" t="str">
        <x:v>CHILE_2025</x:v>
      </x:c>
      <x:c r="B5" s="7" t="str">
        <x:v>GHiSA clinically confirmed study</x:v>
      </x:c>
      <x:c r="C5" s="7" t="str">
        <x:v>Chile</x:v>
      </x:c>
      <x:c r="D5" s="7" t="str">
        <x:v>2.40% (12/500)</x:v>
      </x:c>
      <x:c r="E5" s="7" t="str">
        <x:v>Yes</x:v>
      </x:c>
      <x:c r="F5" s="7" t="str">
        <x:v>Only Latin-American GHiSA country; already included in GHiSA likelihood</x:v>
      </x:c>
    </x:row>
    <x:row r="6" ht="24" hidden="0" customHeight="1">
      <x:c r="A6" s="7" t="str">
        <x:v>COLOMBIA_2021</x:v>
      </x:c>
      <x:c r="B6" s="7" t="str">
        <x:v>National administrative registry</x:v>
      </x:c>
      <x:c r="C6" s="7" t="str">
        <x:v>Colombia</x:v>
      </x:c>
      <x:c r="D6" s="7" t="str">
        <x:v>0.0074% diagnosed prevalence</x:v>
      </x:c>
      <x:c r="E6" s="7" t="str">
        <x:v>No</x:v>
      </x:c>
      <x:c r="F6" s="7" t="str">
        <x:v>Observed diagnosed floor; inappropriate as true-prevalence likelihood</x:v>
      </x:c>
    </x:row>
    <x:row r="7" ht="24" hidden="0" customHeight="1">
      <x:c r="A7" s="7" t="str">
        <x:v>ARGENTINA_2019</x:v>
      </x:c>
      <x:c r="B7" s="7" t="str">
        <x:v>Hospital electronic records</x:v>
      </x:c>
      <x:c r="C7" s="7" t="str">
        <x:v>Argentina</x:v>
      </x:c>
      <x:c r="D7" s="7" t="str">
        <x:v>0.02% recorded/confirmed prevalence</x:v>
      </x:c>
      <x:c r="E7" s="7" t="str">
        <x:v>No</x:v>
      </x:c>
      <x:c r="F7" s="7" t="str">
        <x:v>Health-system floor and coding-quality evidence; nonrepresentative denominator</x:v>
      </x:c>
    </x:row>
    <x:row r="8" ht="24" hidden="0" customHeight="1">
      <x:c r="A8" s="7" t="str">
        <x:v>MEXICO_2019</x:v>
      </x:c>
      <x:c r="B8" s="7" t="str">
        <x:v>Clinical consensus</x:v>
      </x:c>
      <x:c r="C8" s="7" t="str">
        <x:v>Mexico</x:v>
      </x:c>
      <x:c r="D8" s="7" t="str">
        <x:v>No prevalence estimate</x:v>
      </x:c>
      <x:c r="E8" s="7" t="str">
        <x:v>No</x:v>
      </x:c>
      <x:c r="F8" s="7" t="str">
        <x:v>Patient journey and treatment-path evidence; confirms local epidemiology gap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220000267028809" hidden="0" customWidth="1"/>
    <x:col min="2" max="2" width="11.890000343322754" hidden="0" customWidth="1"/>
    <x:col min="3" max="3" width="15.4399995803833" hidden="0" customWidth="1"/>
    <x:col min="4" max="4" width="11" hidden="0" customWidth="1"/>
    <x:col min="5" max="5" width="14.109999656677246" hidden="0" customWidth="1"/>
    <x:col min="6" max="6" width="11" hidden="0" customWidth="1"/>
    <x:col min="7" max="7" width="14.220000267028809" hidden="0" customWidth="1"/>
    <x:col min="8" max="8" width="11" hidden="0" customWidth="1"/>
    <x:col min="9" max="9" width="11" hidden="0" customWidth="1"/>
    <x:col min="10" max="10" width="16.329999923706055" hidden="0" customWidth="1"/>
    <x:col min="11" max="11" width="34" hidden="0" customWidth="1"/>
  </x:cols>
  <x:sheetData>
    <x:row r="1" ht="15" hidden="0" customHeight="1">
      <x:c r="A1" s="6" t="str">
        <x:v>evidence_id</x:v>
      </x:c>
      <x:c r="B1" s="6" t="str">
        <x:v>sampling_frame</x:v>
      </x:c>
      <x:c r="C1" s="6" t="str">
        <x:v>participant_sampling</x:v>
      </x:c>
      <x:c r="D1" s="6" t="str">
        <x:v>sample_size</x:v>
      </x:c>
      <x:c r="E1" s="6" t="str">
        <x:v>setting_description</x:v>
      </x:c>
      <x:c r="F1" s="6" t="str">
        <x:v>coverage</x:v>
      </x:c>
      <x:c r="G1" s="6" t="str">
        <x:v>case_measurement</x:v>
      </x:c>
      <x:c r="H1" s="6" t="str">
        <x:v>statistics</x:v>
      </x:c>
      <x:c r="I1" s="6" t="str">
        <x:v>response_rate</x:v>
      </x:c>
      <x:c r="J1" s="6" t="str">
        <x:v>overall_judgment</x:v>
      </x:c>
      <x:c r="K1" s="6" t="str">
        <x:v>notes</x:v>
      </x:c>
    </x:row>
    <x:row r="2" ht="48" hidden="0" customHeight="1">
      <x:c r="A2" s="7" t="str">
        <x:v>GHISA_2025</x:v>
      </x:c>
      <x:c r="B2" s="7" t="str">
        <x:v>Moderate</x:v>
      </x:c>
      <x:c r="C2" s="7" t="str">
        <x:v>Moderate</x:v>
      </x:c>
      <x:c r="D2" s="7" t="str">
        <x:v>Good</x:v>
      </x:c>
      <x:c r="E2" s="7" t="str">
        <x:v>Good</x:v>
      </x:c>
      <x:c r="F2" s="7" t="str">
        <x:v>Moderate</x:v>
      </x:c>
      <x:c r="G2" s="7" t="str">
        <x:v>Good</x:v>
      </x:c>
      <x:c r="H2" s="7" t="str">
        <x:v>Good</x:v>
      </x:c>
      <x:c r="I2" s="7" t="str">
        <x:v>Moderate</x:v>
      </x:c>
      <x:c r="J2" s="7" t="str">
        <x:v>Moderate</x:v>
      </x:c>
      <x:c r="K2" s="7" t="str">
        <x:v>Standardized prospective protocol and clinical confirmation; healthy companions at outpatient facilities may not represent national populations; high heterogeneity</x:v>
      </x:c>
    </x:row>
    <x:row r="3" ht="36" hidden="0" customHeight="1">
      <x:c r="A3" s="7" t="str">
        <x:v>JFRI_2021</x:v>
      </x:c>
      <x:c r="B3" s="7" t="str">
        <x:v>Variable</x:v>
      </x:c>
      <x:c r="C3" s="7" t="str">
        <x:v>Variable</x:v>
      </x:c>
      <x:c r="D3" s="7" t="str">
        <x:v>Good</x:v>
      </x:c>
      <x:c r="E3" s="7" t="str">
        <x:v>Good</x:v>
      </x:c>
      <x:c r="F3" s="7" t="str">
        <x:v>Variable</x:v>
      </x:c>
      <x:c r="G3" s="7" t="str">
        <x:v>Variable</x:v>
      </x:c>
      <x:c r="H3" s="7" t="str">
        <x:v>Good</x:v>
      </x:c>
      <x:c r="I3" s="7" t="str">
        <x:v>Variable</x:v>
      </x:c>
      <x:c r="J3" s="7" t="str">
        <x:v>Moderate-to-high</x:v>
      </x:c>
      <x:c r="K3" s="7" t="str">
        <x:v>Systematic synthesis but substantial design/case-definition heterogeneity and limited geography</x:v>
      </x:c>
    </x:row>
    <x:row r="4" ht="36" hidden="0" customHeight="1">
      <x:c r="A4" s="7" t="str">
        <x:v>BRAZIL_2018</x:v>
      </x:c>
      <x:c r="B4" s="7" t="str">
        <x:v>Moderate</x:v>
      </x:c>
      <x:c r="C4" s="7" t="str">
        <x:v>Moderate</x:v>
      </x:c>
      <x:c r="D4" s="7" t="str">
        <x:v>Good</x:v>
      </x:c>
      <x:c r="E4" s="7" t="str">
        <x:v>Good</x:v>
      </x:c>
      <x:c r="F4" s="7" t="str">
        <x:v>Moderate</x:v>
      </x:c>
      <x:c r="G4" s="7" t="str">
        <x:v>Moderate</x:v>
      </x:c>
      <x:c r="H4" s="7" t="str">
        <x:v>Good</x:v>
      </x:c>
      <x:c r="I4" s="7" t="str">
        <x:v>Unclear</x:v>
      </x:c>
      <x:c r="J4" s="7" t="str">
        <x:v>Moderate-to-high</x:v>
      </x:c>
      <x:c r="K4" s="7" t="str">
        <x:v>Nationwide telephone coverage but self-report/questionnaire and unclear reconciliation of contacted vs analyzed sample</x:v>
      </x:c>
    </x:row>
    <x:row r="5" ht="36" hidden="0" customHeight="1">
      <x:c r="A5" s="7" t="str">
        <x:v>CHILE_2025</x:v>
      </x:c>
      <x:c r="B5" s="7" t="str">
        <x:v>Moderate</x:v>
      </x:c>
      <x:c r="C5" s="7" t="str">
        <x:v>Moderate</x:v>
      </x:c>
      <x:c r="D5" s="7" t="str">
        <x:v>Limited</x:v>
      </x:c>
      <x:c r="E5" s="7" t="str">
        <x:v>Good</x:v>
      </x:c>
      <x:c r="F5" s="7" t="str">
        <x:v>Limited</x:v>
      </x:c>
      <x:c r="G5" s="7" t="str">
        <x:v>Good</x:v>
      </x:c>
      <x:c r="H5" s="7" t="str">
        <x:v>Good</x:v>
      </x:c>
      <x:c r="I5" s="7" t="str">
        <x:v>Good</x:v>
      </x:c>
      <x:c r="J5" s="7" t="str">
        <x:v>Moderate-to-high</x:v>
      </x:c>
      <x:c r="K5" s="7" t="str">
        <x:v>Clinically confirmed but n=500 health-center companions from Santiago; all 12 detected cases female</x:v>
      </x:c>
    </x:row>
    <x:row r="6" ht="36" hidden="0" customHeight="1">
      <x:c r="A6" s="7" t="str">
        <x:v>COLOMBIA_2021</x:v>
      </x:c>
      <x:c r="B6" s="7" t="str">
        <x:v>Good</x:v>
      </x:c>
      <x:c r="C6" s="7" t="str">
        <x:v>Good</x:v>
      </x:c>
      <x:c r="D6" s="7" t="str">
        <x:v>Good</x:v>
      </x:c>
      <x:c r="E6" s="7" t="str">
        <x:v>Good</x:v>
      </x:c>
      <x:c r="F6" s="7" t="str">
        <x:v>Limited</x:v>
      </x:c>
      <x:c r="G6" s="7" t="str">
        <x:v>Moderate</x:v>
      </x:c>
      <x:c r="H6" s="7" t="str">
        <x:v>Good</x:v>
      </x:c>
      <x:c r="I6" s="7" t="str">
        <x:v>Not applicable</x:v>
      </x:c>
      <x:c r="J6" s="7" t="str">
        <x:v>High for true prevalence</x:v>
      </x:c>
      <x:c r="K6" s="7" t="str">
        <x:v>National diagnosed registry is strong for coded burden but systematically misses undiagnosed/nonaccessing cases</x:v>
      </x:c>
    </x:row>
    <x:row r="7" ht="24" hidden="0" customHeight="1">
      <x:c r="A7" s="7" t="str">
        <x:v>ARGENTINA_2019</x:v>
      </x:c>
      <x:c r="B7" s="7" t="str">
        <x:v>Limited</x:v>
      </x:c>
      <x:c r="C7" s="7" t="str">
        <x:v>Limited</x:v>
      </x:c>
      <x:c r="D7" s="7" t="str">
        <x:v>Limited</x:v>
      </x:c>
      <x:c r="E7" s="7" t="str">
        <x:v>Good</x:v>
      </x:c>
      <x:c r="F7" s="7" t="str">
        <x:v>Limited</x:v>
      </x:c>
      <x:c r="G7" s="7" t="str">
        <x:v>Good</x:v>
      </x:c>
      <x:c r="H7" s="7" t="str">
        <x:v>Good</x:v>
      </x:c>
      <x:c r="I7" s="7" t="str">
        <x:v>Not applicable</x:v>
      </x:c>
      <x:c r="J7" s="7" t="str">
        <x:v>High for true prevalence</x:v>
      </x:c>
      <x:c r="K7" s="7" t="str">
        <x:v>Single hospital; recorded diagnoses only; problem-list PPV 37% before chart confirmation</x:v>
      </x:c>
    </x:row>
    <x:row r="8" ht="15" hidden="0" customHeight="1">
      <x:c r="A8" s="7" t="str">
        <x:v>MEXICO_2019</x:v>
      </x:c>
      <x:c r="B8" s="7" t="str">
        <x:v>Not applicable</x:v>
      </x:c>
      <x:c r="C8" s="7" t="str">
        <x:v>Not applicable</x:v>
      </x:c>
      <x:c r="D8" s="7" t="str">
        <x:v>Not applicable</x:v>
      </x:c>
      <x:c r="E8" s="7" t="str">
        <x:v>Good</x:v>
      </x:c>
      <x:c r="F8" s="7" t="str">
        <x:v>Not applicable</x:v>
      </x:c>
      <x:c r="G8" s="7" t="str">
        <x:v>Good</x:v>
      </x:c>
      <x:c r="H8" s="7" t="str">
        <x:v>Not applicable</x:v>
      </x:c>
      <x:c r="I8" s="7" t="str">
        <x:v>Not applicable</x:v>
      </x:c>
      <x:c r="J8" s="7" t="str">
        <x:v>Not a prevalence study</x:v>
      </x:c>
      <x:c r="K8" s="7" t="str">
        <x:v>Expert consensus used only for care pathway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.219999313354492" hidden="0" customWidth="1"/>
    <x:col min="3" max="3" width="34" hidden="0" customWidth="1"/>
    <x:col min="4" max="4" width="34" hidden="0" customWidth="1"/>
    <x:col min="5" max="5" width="34" hidden="0" customWidth="1"/>
    <x:col min="6" max="6" width="31.110000610351562" hidden="0" customWidth="1"/>
    <x:col min="7" max="7" width="13.5600004196167" hidden="0" customWidth="1"/>
    <x:col min="8" max="8" width="34" hidden="0" customWidth="1"/>
  </x:cols>
  <x:sheetData>
    <x:row r="1" ht="15" hidden="0" customHeight="1">
      <x:c r="A1" s="6" t="str">
        <x:v>stage_id</x:v>
      </x:c>
      <x:c r="B1" s="6" t="str">
        <x:v>stage_name</x:v>
      </x:c>
      <x:c r="C1" s="6" t="str">
        <x:v>patient_state</x:v>
      </x:c>
      <x:c r="D1" s="6" t="str">
        <x:v>common_touchpoints</x:v>
      </x:c>
      <x:c r="E1" s="6" t="str">
        <x:v>main_leakage_or_delay</x:v>
      </x:c>
      <x:c r="F1" s="6" t="str">
        <x:v>market_sizing_variable</x:v>
      </x:c>
      <x:c r="G1" s="6" t="str">
        <x:v>phase_1_status</x:v>
      </x:c>
      <x:c r="H1" s="6" t="str">
        <x:v>next_data_source</x:v>
      </x:c>
    </x:row>
    <x:row r="2" ht="24" hidden="0" customHeight="1">
      <x:c r="A2" s="7" t="n">
        <x:v>1</x:v>
      </x:c>
      <x:c r="B2" s="7" t="str">
        <x:v>Symptom onset</x:v>
      </x:c>
      <x:c r="C2" s="7" t="str">
        <x:v>Recurrent painful nodules/abscesses in intertriginous areas; intermittent flares</x:v>
      </x:c>
      <x:c r="D2" s="7" t="str">
        <x:v>Self-care; pharmacy; no care</x:v>
      </x:c>
      <x:c r="E2" s="7" t="str">
        <x:v>Embarrassment, normalization, episodic symptoms</x:v>
      </x:c>
      <x:c r="F2" s="7" t="str">
        <x:v>True prevalent population</x:v>
      </x:c>
      <x:c r="G2" s="7" t="str">
        <x:v>Estimated</x:v>
      </x:c>
      <x:c r="H2" s="7" t="str">
        <x:v>Population prevalence evidence</x:v>
      </x:c>
    </x:row>
    <x:row r="3" ht="24" hidden="0" customHeight="1">
      <x:c r="A3" s="7" t="n">
        <x:v>2</x:v>
      </x:c>
      <x:c r="B3" s="7" t="str">
        <x:v>First help-seeking</x:v>
      </x:c>
      <x:c r="C3" s="7" t="str">
        <x:v>Symptoms affect pain, mobility, work, sleep or quality of life</x:v>
      </x:c>
      <x:c r="D3" s="7" t="str">
        <x:v>Primary care; urgent care; gynecology; surgery; infectious disease</x:v>
      </x:c>
      <x:c r="E3" s="7" t="str">
        <x:v>Misclassification as boils/abscesses; repeated drainage or antibiotics</x:v>
      </x:c>
      <x:c r="F3" s="7" t="str">
        <x:v>Care-seeking probability</x:v>
      </x:c>
      <x:c r="G3" s="7" t="str">
        <x:v>Not estimated</x:v>
      </x:c>
      <x:c r="H3" s="7" t="str">
        <x:v>Patient survey or longitudinal claims</x:v>
      </x:c>
    </x:row>
    <x:row r="4" ht="24" hidden="0" customHeight="1">
      <x:c r="A4" s="7" t="n">
        <x:v>3</x:v>
      </x:c>
      <x:c r="B4" s="7" t="str">
        <x:v>Pre-diagnosis cycling</x:v>
      </x:c>
      <x:c r="C4" s="7" t="str">
        <x:v>Repeated consultations and temporary treatments</x:v>
      </x:c>
      <x:c r="D4" s="7" t="str">
        <x:v>Multiple nonspecialists; emergency services</x:v>
      </x:c>
      <x:c r="E4" s="7" t="str">
        <x:v>Average diagnostic delay commonly reported around 7-10 years; referral friction</x:v>
      </x:c>
      <x:c r="F4" s="7" t="str">
        <x:v>Annual diagnosis hazard and delay distribution</x:v>
      </x:c>
      <x:c r="G4" s="7" t="str">
        <x:v>Framework only</x:v>
      </x:c>
      <x:c r="H4" s="7" t="str">
        <x:v>Local chart review / claims episode history</x:v>
      </x:c>
    </x:row>
    <x:row r="5" ht="15" hidden="0" customHeight="1">
      <x:c r="A5" s="7" t="n">
        <x:v>4</x:v>
      </x:c>
      <x:c r="B5" s="7" t="str">
        <x:v>Confirmed diagnosis</x:v>
      </x:c>
      <x:c r="C5" s="7" t="str">
        <x:v>Clinical pattern recognized and HS documented</x:v>
      </x:c>
      <x:c r="D5" s="7" t="str">
        <x:v>Dermatology; trained specialist</x:v>
      </x:c>
      <x:c r="E5" s="7" t="str">
        <x:v>Access to dermatology; incomplete coding</x:v>
      </x:c>
      <x:c r="F5" s="7" t="str">
        <x:v>Diagnosed prevalent population</x:v>
      </x:c>
      <x:c r="G5" s="7" t="str">
        <x:v>Not estimated</x:v>
      </x:c>
      <x:c r="H5" s="7" t="str">
        <x:v>Private prescriptions plus public records</x:v>
      </x:c>
    </x:row>
    <x:row r="6" ht="24" hidden="0" customHeight="1">
      <x:c r="A6" s="7" t="n">
        <x:v>5</x:v>
      </x:c>
      <x:c r="B6" s="7" t="str">
        <x:v>Severity/activity assessment</x:v>
      </x:c>
      <x:c r="C6" s="7" t="str">
        <x:v>Inflammatory burden and irreversible damage assessed separately</x:v>
      </x:c>
      <x:c r="D6" s="7" t="str">
        <x:v>Dermatology; multidisciplinary clinic</x:v>
      </x:c>
      <x:c r="E6" s="7" t="str">
        <x:v>Hurley alone does not fully capture current inflammatory activity</x:v>
      </x:c>
      <x:c r="F6" s="7" t="str">
        <x:v>Shares by IHS4/Hurley and active disease</x:v>
      </x:c>
      <x:c r="G6" s="7" t="str">
        <x:v>Not estimated</x:v>
      </x:c>
      <x:c r="H6" s="7" t="str">
        <x:v>Local clinical cohort</x:v>
      </x:c>
    </x:row>
    <x:row r="7" ht="24" hidden="0" customHeight="1">
      <x:c r="A7" s="7" t="n">
        <x:v>6</x:v>
      </x:c>
      <x:c r="B7" s="7" t="str">
        <x:v>Conventional management</x:v>
      </x:c>
      <x:c r="C7" s="7" t="str">
        <x:v>Lifestyle/comorbidity management; topical/systemic therapy; procedures</x:v>
      </x:c>
      <x:c r="D7" s="7" t="str">
        <x:v>Dermatology; primary care; surgery</x:v>
      </x:c>
      <x:c r="E7" s="7" t="str">
        <x:v>Discontinuation, inadequate response, contraindications</x:v>
      </x:c>
      <x:c r="F7" s="7" t="str">
        <x:v>Systemic-treatment and failure shares</x:v>
      </x:c>
      <x:c r="G7" s="7" t="str">
        <x:v>Not estimated</x:v>
      </x:c>
      <x:c r="H7" s="7" t="str">
        <x:v>Claims/Rx and chart audit</x:v>
      </x:c>
    </x:row>
    <x:row r="8" ht="24" hidden="0" customHeight="1">
      <x:c r="A8" s="7" t="n">
        <x:v>7</x:v>
      </x:c>
      <x:c r="B8" s="7" t="str">
        <x:v>Biologic eligibility</x:v>
      </x:c>
      <x:c r="C8" s="7" t="str">
        <x:v>Moderate-to-severe active disease with inadequate response to conventional systemic therapy</x:v>
      </x:c>
      <x:c r="D8" s="7" t="str">
        <x:v>Dermatology; payer authorization</x:v>
      </x:c>
      <x:c r="E8" s="7" t="str">
        <x:v>Eligibility is not equal to access; formulary and referral constraints</x:v>
      </x:c>
      <x:c r="F8" s="7" t="str">
        <x:v>Biologic-eligible population</x:v>
      </x:c>
      <x:c r="G8" s="7" t="str">
        <x:v>Not estimated</x:v>
      </x:c>
      <x:c r="H8" s="7" t="str">
        <x:v>Guidelines plus payer criteria</x:v>
      </x:c>
    </x:row>
    <x:row r="9" ht="24" hidden="0" customHeight="1">
      <x:c r="A9" s="7" t="n">
        <x:v>8</x:v>
      </x:c>
      <x:c r="B9" s="7" t="str">
        <x:v>Biologic access and treatment</x:v>
      </x:c>
      <x:c r="C9" s="7" t="str">
        <x:v>Approved biologic initiated and maintained</x:v>
      </x:c>
      <x:c r="D9" s="7" t="str">
        <x:v>Private specialty pharmacy; public institution</x:v>
      </x:c>
      <x:c r="E9" s="7" t="str">
        <x:v>Authorization, affordability, persistence and switching</x:v>
      </x:c>
      <x:c r="F9" s="7" t="str">
        <x:v>Accessible and treated populations</x:v>
      </x:c>
      <x:c r="G9" s="7" t="str">
        <x:v>Deferred to phase 2</x:v>
      </x:c>
      <x:c r="H9" s="7" t="str">
        <x:v>Private audit, Rx by indication, public demand/procurement</x:v>
      </x:c>
    </x:row>
    <x:row r="10" ht="24" hidden="0" customHeight="1">
      <x:c r="A10" s="7" t="n">
        <x:v>9</x:v>
      </x:c>
      <x:c r="B10" s="7" t="str">
        <x:v>Surgery/combined care</x:v>
      </x:c>
      <x:c r="C10" s="7" t="str">
        <x:v>Persistent tunnels/scarring or localized irreversible disease</x:v>
      </x:c>
      <x:c r="D10" s="7" t="str">
        <x:v>Dermatologic/plastic/general surgery</x:v>
      </x:c>
      <x:c r="E10" s="7" t="str">
        <x:v>Capacity and coordination constraints</x:v>
      </x:c>
      <x:c r="F10" s="7" t="str">
        <x:v>Surgical pool and overlap with biologics</x:v>
      </x:c>
      <x:c r="G10" s="7" t="str">
        <x:v>Framework only</x:v>
      </x:c>
      <x:c r="H10" s="7" t="str">
        <x:v>Procedure claims and specialist validation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.670000076293945" hidden="0" customWidth="1"/>
    <x:col min="3" max="3" width="34" hidden="0" customWidth="1"/>
    <x:col min="4" max="4" width="34" hidden="0" customWidth="1"/>
    <x:col min="5" max="5" width="34" hidden="0" customWidth="1"/>
    <x:col min="6" max="6" width="21.559999465942383" hidden="0" customWidth="1"/>
    <x:col min="7" max="7" width="34" hidden="0" customWidth="1"/>
  </x:cols>
  <x:sheetData>
    <x:row r="1" ht="15" hidden="0" customHeight="1">
      <x:c r="A1" s="6" t="str">
        <x:v>pathway_order</x:v>
      </x:c>
      <x:c r="B1" s="6" t="str">
        <x:v>disease_component</x:v>
      </x:c>
      <x:c r="C1" s="6" t="str">
        <x:v>severity_or_context</x:v>
      </x:c>
      <x:c r="D1" s="6" t="str">
        <x:v>intervention_class</x:v>
      </x:c>
      <x:c r="E1" s="6" t="str">
        <x:v>examples</x:v>
      </x:c>
      <x:c r="F1" s="6" t="str">
        <x:v>market_model_treatment_flag</x:v>
      </x:c>
      <x:c r="G1" s="6" t="str">
        <x:v>evidence_note</x:v>
      </x:c>
    </x:row>
    <x:row r="2" ht="24" hidden="0" customHeight="1">
      <x:c r="A2" s="7" t="n">
        <x:v>1</x:v>
      </x:c>
      <x:c r="B2" s="7" t="str">
        <x:v>General</x:v>
      </x:c>
      <x:c r="C2" s="7" t="str">
        <x:v>All</x:v>
      </x:c>
      <x:c r="D2" s="7" t="str">
        <x:v>Education, pain care, risk-factor and comorbidity management</x:v>
      </x:c>
      <x:c r="E2" s="7" t="str">
        <x:v>Smoking cessation support; weight management; wound care</x:v>
      </x:c>
      <x:c r="F2" s="7" t="str">
        <x:v>No</x:v>
      </x:c>
      <x:c r="G2" s="7" t="str">
        <x:v>Supportive care accompanies medical/procedural treatment</x:v>
      </x:c>
    </x:row>
    <x:row r="3" ht="24" hidden="0" customHeight="1">
      <x:c r="A3" s="7" t="n">
        <x:v>2</x:v>
      </x:c>
      <x:c r="B3" s="7" t="str">
        <x:v>Inflammatory</x:v>
      </x:c>
      <x:c r="C3" s="7" t="str">
        <x:v>Localized/mild</x:v>
      </x:c>
      <x:c r="D3" s="7" t="str">
        <x:v>Topical/intralesional</x:v>
      </x:c>
      <x:c r="E3" s="7" t="str">
        <x:v>Topical clindamycin; intralesional corticosteroid where appropriate</x:v>
      </x:c>
      <x:c r="F3" s="7" t="str">
        <x:v>No</x:v>
      </x:c>
      <x:c r="G3" s="7" t="str">
        <x:v>Selection depends on lesion type and guideline/local practice</x:v>
      </x:c>
    </x:row>
    <x:row r="4" ht="24" hidden="0" customHeight="1">
      <x:c r="A4" s="7" t="n">
        <x:v>3</x:v>
      </x:c>
      <x:c r="B4" s="7" t="str">
        <x:v>Inflammatory</x:v>
      </x:c>
      <x:c r="C4" s="7" t="str">
        <x:v>Mild-to-moderate</x:v>
      </x:c>
      <x:c r="D4" s="7" t="str">
        <x:v>Systemic antibiotics</x:v>
      </x:c>
      <x:c r="E4" s="7" t="str">
        <x:v>Oral tetracyclines</x:v>
      </x:c>
      <x:c r="F4" s="7" t="str">
        <x:v>No</x:v>
      </x:c>
      <x:c r="G4" s="7" t="str">
        <x:v>Often an early systemic step; response and recurrence vary</x:v>
      </x:c>
    </x:row>
    <x:row r="5" ht="24" hidden="0" customHeight="1">
      <x:c r="A5" s="7" t="n">
        <x:v>4</x:v>
      </x:c>
      <x:c r="B5" s="7" t="str">
        <x:v>Inflammatory</x:v>
      </x:c>
      <x:c r="C5" s="7" t="str">
        <x:v>More extensive or inadequate response</x:v>
      </x:c>
      <x:c r="D5" s="7" t="str">
        <x:v>Combination antibiotics</x:v>
      </x:c>
      <x:c r="E5" s="7" t="str">
        <x:v>Clindamycin plus rifampicin where clinically appropriate</x:v>
      </x:c>
      <x:c r="F5" s="7" t="str">
        <x:v>No</x:v>
      </x:c>
      <x:c r="G5" s="7" t="str">
        <x:v>Not a universal mandatory sequence; safety/interactions matter</x:v>
      </x:c>
    </x:row>
    <x:row r="6" ht="36" hidden="0" customHeight="1">
      <x:c r="A6" s="7" t="n">
        <x:v>5</x:v>
      </x:c>
      <x:c r="B6" s="7" t="str">
        <x:v>Inflammatory</x:v>
      </x:c>
      <x:c r="C6" s="7" t="str">
        <x:v>Moderate-to-severe active disease; inadequate conventional response</x:v>
      </x:c>
      <x:c r="D6" s="7" t="str">
        <x:v>Biologic</x:v>
      </x:c>
      <x:c r="E6" s="7" t="str">
        <x:v>Adalimumab (TNF inhibitor)</x:v>
      </x:c>
      <x:c r="F6" s="7" t="str">
        <x:v>Yes</x:v>
      </x:c>
      <x:c r="G6" s="7" t="str">
        <x:v>Approved HS biologic in major jurisdictions; exact Mexican label/formulary status must be checked at market-cut date</x:v>
      </x:c>
    </x:row>
    <x:row r="7" ht="36" hidden="0" customHeight="1">
      <x:c r="A7" s="7" t="n">
        <x:v>6</x:v>
      </x:c>
      <x:c r="B7" s="7" t="str">
        <x:v>Inflammatory</x:v>
      </x:c>
      <x:c r="C7" s="7" t="str">
        <x:v>Moderate-to-severe active disease; inadequate conventional response</x:v>
      </x:c>
      <x:c r="D7" s="7" t="str">
        <x:v>Biologic</x:v>
      </x:c>
      <x:c r="E7" s="7" t="str">
        <x:v>Secukinumab (IL-17A inhibitor)</x:v>
      </x:c>
      <x:c r="F7" s="7" t="str">
        <x:v>Yes</x:v>
      </x:c>
      <x:c r="G7" s="7" t="str">
        <x:v>Approved HS biologic in major jurisdictions; exact Mexican label/formulary status must be checked at market-cut date</x:v>
      </x:c>
    </x:row>
    <x:row r="8" ht="24" hidden="0" customHeight="1">
      <x:c r="A8" s="7" t="n">
        <x:v>7</x:v>
      </x:c>
      <x:c r="B8" s="7" t="str">
        <x:v>Inflammatory</x:v>
      </x:c>
      <x:c r="C8" s="7" t="str">
        <x:v>Moderate-to-severe active disease; inadequate conventional response</x:v>
      </x:c>
      <x:c r="D8" s="7" t="str">
        <x:v>Biologic</x:v>
      </x:c>
      <x:c r="E8" s="7" t="str">
        <x:v>Bimekizumab (IL-17A/F inhibitor)</x:v>
      </x:c>
      <x:c r="F8" s="7" t="str">
        <x:v>Future/optional</x:v>
      </x:c>
      <x:c r="G8" s="7" t="str">
        <x:v>Included for landscape completeness; not part of the two-molecule allocation requested</x:v>
      </x:c>
    </x:row>
    <x:row r="9" ht="24" hidden="0" customHeight="1">
      <x:c r="A9" s="7" t="n">
        <x:v>8</x:v>
      </x:c>
      <x:c r="B9" s="7" t="str">
        <x:v>Non-inflammatory/structural</x:v>
      </x:c>
      <x:c r="C9" s="7" t="str">
        <x:v>Persistent tunnels, scarring or localized disease</x:v>
      </x:c>
      <x:c r="D9" s="7" t="str">
        <x:v>Procedural/surgical</x:v>
      </x:c>
      <x:c r="E9" s="7" t="str">
        <x:v>Deroofing; local or wide excision; laser-based procedures</x:v>
      </x:c>
      <x:c r="F9" s="7" t="str">
        <x:v>No</x:v>
      </x:c>
      <x:c r="G9" s="7" t="str">
        <x:v>May be combined with systemic anti-inflammatory therapy; not a terminal mutually exclusive branch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329999923706055" hidden="0" customWidth="1"/>
    <x:col min="2" max="2" width="34" hidden="0" customWidth="1"/>
    <x:col min="3" max="3" width="11" hidden="0" customWidth="1"/>
    <x:col min="4" max="4" width="34" hidden="0" customWidth="1"/>
    <x:col min="5" max="5" width="34" hidden="0" customWidth="1"/>
  </x:cols>
  <x:sheetData>
    <x:row r="1" ht="15" hidden="0" customHeight="1">
      <x:c r="A1" s="6" t="str">
        <x:v>reference_id</x:v>
      </x:c>
      <x:c r="B1" s="6" t="str">
        <x:v>citation</x:v>
      </x:c>
      <x:c r="C1" s="6" t="str">
        <x:v>year</x:v>
      </x:c>
      <x:c r="D1" s="6" t="str">
        <x:v>doi_or_url</x:v>
      </x:c>
      <x:c r="E1" s="6" t="str">
        <x:v>used_for</x:v>
      </x:c>
    </x:row>
    <x:row r="2" ht="60" hidden="0" customHeight="1">
      <x:c r="A2" s="7" t="str">
        <x:v>BOUAZZI_2025</x:v>
      </x:c>
      <x:c r="B2" s="7" t="str">
        <x:v>Bouazzi D, Nielsen SM, Hagan PG, et al. Prevalence of Hidradenitis Suppurativa: A Meta-Analysis of Global Hidradenitis Suppurativa Atlas Studies. JAMA Dermatol. 161(10):1022-1028.</x:v>
      </x:c>
      <x:c r="C2" s="7" t="n">
        <x:v>2025</x:v>
      </x:c>
      <x:c r="D2" s="7" t="str">
        <x:v>https://doi.org/10.1001/jamadermatol.2025.2373</x:v>
      </x:c>
      <x:c r="E2" s="7" t="str">
        <x:v>Primary prevalence model</x:v>
      </x:c>
    </x:row>
    <x:row r="3" ht="48" hidden="0" customHeight="1">
      <x:c r="A3" s="7" t="str">
        <x:v>GHISA_METHOD_2024</x:v>
      </x:c>
      <x:c r="B3" s="7" t="str">
        <x:v>Bouazzi D, Andersen RK, Vinding GR, et al. The Global Hidradenitis Suppurativa Atlas methodology: combining global proportions in a pooled analysis. Dermatology. 240(3):369-375.</x:v>
      </x:c>
      <x:c r="C3" s="7" t="n">
        <x:v>2024</x:v>
      </x:c>
      <x:c r="D3" s="7" t="str">
        <x:v>https://doi.org/10.1159/000536389</x:v>
      </x:c>
      <x:c r="E3" s="7" t="str">
        <x:v>Standardized ascertainment method</x:v>
      </x:c>
    </x:row>
    <x:row r="4" ht="48" hidden="0" customHeight="1">
      <x:c r="A4" s="7" t="str">
        <x:v>JFRI_2021</x:v>
      </x:c>
      <x:c r="B4" s="7" t="str">
        <x:v>Jfri A, Nassim D, O'Brien E, et al. Prevalence of Hidradenitis Suppurativa: A Systematic Review and Meta-regression Analysis. JAMA Dermatol. 157(8):924-931.</x:v>
      </x:c>
      <x:c r="C4" s="7" t="n">
        <x:v>2021</x:v>
      </x:c>
      <x:c r="D4" s="7" t="str">
        <x:v>https://doi.org/10.1001/jamadermatol.2021.1677</x:v>
      </x:c>
      <x:c r="E4" s="7" t="str">
        <x:v>External prevalence benchmarks and design effect</x:v>
      </x:c>
    </x:row>
    <x:row r="5" ht="36" hidden="0" customHeight="1">
      <x:c r="A5" s="7" t="str">
        <x:v>IANHEZ_2018</x:v>
      </x:c>
      <x:c r="B5" s="7" t="str">
        <x:v>Ianhez M, Schmitt JV, Miot HA. Prevalence of hidradenitis suppurativa in Brazil: a population survey. Int J Dermatol. 57(5):618-620.</x:v>
      </x:c>
      <x:c r="C5" s="7" t="n">
        <x:v>2018</x:v>
      </x:c>
      <x:c r="D5" s="7" t="str">
        <x:v>https://doi.org/10.1111/ijd.13937</x:v>
      </x:c>
      <x:c r="E5" s="7" t="str">
        <x:v>Brazil prevalence</x:v>
      </x:c>
    </x:row>
    <x:row r="6" ht="36" hidden="0" customHeight="1">
      <x:c r="A6" s="7" t="str">
        <x:v>REYES_2025</x:v>
      </x:c>
      <x:c r="B6" s="7" t="str">
        <x:v>Reyes-Baraona F, Matas C, Bouazzi D, et al. Hidradenitis Suppurativa Prevalence in Santiago, Chile. Dermatology. 241(Suppl 1):30-35.</x:v>
      </x:c>
      <x:c r="C6" s="7" t="n">
        <x:v>2025</x:v>
      </x:c>
      <x:c r="D6" s="7" t="str">
        <x:v>https://doi.org/10.1159/000538423</x:v>
      </x:c>
      <x:c r="E6" s="7" t="str">
        <x:v>Chile prevalence and limitations</x:v>
      </x:c>
    </x:row>
    <x:row r="7" ht="48" hidden="0" customHeight="1">
      <x:c r="A7" s="7" t="str">
        <x:v>CHARRY_2021</x:v>
      </x:c>
      <x:c r="B7" s="7" t="str">
        <x:v>Charry L, et al. Prevalence of Hidradenitis Suppurativa in Colombia According to Data from the National Health Registry. SKINmed. 19:369-373.</x:v>
      </x:c>
      <x:c r="C7" s="7" t="n">
        <x:v>2021</x:v>
      </x:c>
      <x:c r="D7" s="7" t="str">
        <x:v>https://pubmed.ncbi.nlm.nih.gov/34861917/</x:v>
      </x:c>
      <x:c r="E7" s="7" t="str">
        <x:v>Colombia diagnosed prevalence</x:v>
      </x:c>
    </x:row>
    <x:row r="8" ht="72" hidden="0" customHeight="1">
      <x:c r="A8" s="7" t="str">
        <x:v>ZIMMAN_2019</x:v>
      </x:c>
      <x:c r="B8" s="7" t="str">
        <x:v>Zimman S, Comparatore MV, Vulcano AF, et al. Hidradenitis supurativa: una aproximación a su prevalencia, características clínicas, comorbilidades y tiempo al diagnóstico, en un hospital universitario de Buenos Aires. Actas Dermosifiliogr. 110(4):297-302.</x:v>
      </x:c>
      <x:c r="C8" s="7" t="n">
        <x:v>2019</x:v>
      </x:c>
      <x:c r="D8" s="7" t="str">
        <x:v>https://doi.org/10.1016/j.ad.2019.01.004</x:v>
      </x:c>
      <x:c r="E8" s="7" t="str">
        <x:v>Argentina hospital prevalence and coding PPV</x:v>
      </x:c>
    </x:row>
    <x:row r="9" ht="48" hidden="0" customHeight="1">
      <x:c r="A9" s="7" t="str">
        <x:v>MEDIANFAR_2025</x:v>
      </x:c>
      <x:c r="B9" s="7" t="str">
        <x:v>Medianfar CE, et al. Global Hidradenitis Suppurativa Epidemiology: Exploring Themes and Gaps beyond Europe, Australia, and the USA. Dermatology. 241(Suppl 1):159-170.</x:v>
      </x:c>
      <x:c r="C9" s="7" t="n">
        <x:v>2025</x:v>
      </x:c>
      <x:c r="D9" s="7" t="str">
        <x:v>https://doi.org/10.1159/000542389</x:v>
      </x:c>
      <x:c r="E9" s="7" t="str">
        <x:v>Regional evidence comparison</x:v>
      </x:c>
    </x:row>
    <x:row r="10" ht="48" hidden="0" customHeight="1">
      <x:c r="A10" s="7" t="str">
        <x:v>ESTRADA_2019</x:v>
      </x:c>
      <x:c r="B10" s="7" t="str">
        <x:v>Estrada-Aguilar L, Arenas-Guzman R, Garcia-Hidalgo L, et al. Consenso mexicano en el manejo clinico de la hidradenitis supurativa. Med Interna Mex. 35(4):564-584.</x:v>
      </x:c>
      <x:c r="C10" s="7" t="n">
        <x:v>2019</x:v>
      </x:c>
      <x:c r="D10" s="7" t="str">
        <x:v>https://doi.org/10.24245/mim.v35i4.2909</x:v>
      </x:c>
      <x:c r="E10" s="7" t="str">
        <x:v>Mexico care pathway</x:v>
      </x:c>
    </x:row>
    <x:row r="11" ht="24" hidden="0" customHeight="1">
      <x:c r="A11" s="7" t="str">
        <x:v>SABAT_2025</x:v>
      </x:c>
      <x:c r="B11" s="7" t="str">
        <x:v>Sabat R, Alavi A, Wolk K, et al. Hidradenitis suppurativa. Lancet. 405(10476):420-438.</x:v>
      </x:c>
      <x:c r="C11" s="7" t="n">
        <x:v>2025</x:v>
      </x:c>
      <x:c r="D11" s="7" t="str">
        <x:v>https://doi.org/10.1016/S0140-6736(24)02475-9</x:v>
      </x:c>
      <x:c r="E11" s="7" t="str">
        <x:v>Contemporary disease overview</x:v>
      </x:c>
    </x:row>
    <x:row r="12" ht="48" hidden="0" customHeight="1">
      <x:c r="A12" s="7" t="str">
        <x:v>ZOUBOULIS_2025</x:v>
      </x:c>
      <x:c r="B12" s="7" t="str">
        <x:v>Zouboulis CC, et al. European S2k guidelines for hidradenitis suppurativa/acne inversa part 2: Treatment. J Eur Acad Dermatol Venereol. 39(5):899-941.</x:v>
      </x:c>
      <x:c r="C12" s="7" t="n">
        <x:v>2025</x:v>
      </x:c>
      <x:c r="D12" s="7" t="str">
        <x:v>https://doi.org/10.1111/jdv.20472</x:v>
      </x:c>
      <x:c r="E12" s="7" t="str">
        <x:v>Treatment pathway</x:v>
      </x:c>
    </x:row>
    <x:row r="13" ht="36" hidden="0" customHeight="1">
      <x:c r="A13" s="7" t="str">
        <x:v>MARTINS_2024</x:v>
      </x:c>
      <x:c r="B13" s="7" t="str">
        <x:v>Martins IA, et al. Diagnostic Delay in Hidradenitis Suppurativa: Still an Unsolved Problem. Dermatology.</x:v>
      </x:c>
      <x:c r="C13" s="7" t="n">
        <x:v>2024</x:v>
      </x:c>
      <x:c r="D13" s="7" t="str">
        <x:v>https://pubmed.ncbi.nlm.nih.gov/38572195/</x:v>
      </x:c>
      <x:c r="E13" s="7" t="str">
        <x:v>Diagnostic delay</x:v>
      </x:c>
    </x:row>
    <x:row r="14" ht="36" hidden="0" customHeight="1">
      <x:c r="A14" s="7" t="str">
        <x:v>SAUNTE_2015</x:v>
      </x:c>
      <x:c r="B14" s="7" t="str">
        <x:v>Saunte DM, et al. Diagnostic delay in hidradenitis suppurativa is a global problem. Br J Dermatol. 173(6):1546-1549.</x:v>
      </x:c>
      <x:c r="C14" s="7" t="n">
        <x:v>2015</x:v>
      </x:c>
      <x:c r="D14" s="7" t="str">
        <x:v>https://doi.org/10.1111/bjd.14038</x:v>
      </x:c>
      <x:c r="E14" s="7" t="str">
        <x:v>Diagnostic delay</x:v>
      </x:c>
    </x:row>
    <x:row r="15" ht="24" hidden="0" customHeight="1">
      <x:c r="A15" s="7" t="str">
        <x:v>WORLD_BANK_2024</x:v>
      </x:c>
      <x:c r="B15" s="7" t="str">
        <x:v>World Bank. Population, total - Mexico. 2024 value: 130,861,007.</x:v>
      </x:c>
      <x:c r="C15" s="7" t="n">
        <x:v>2024</x:v>
      </x:c>
      <x:c r="D15" s="7" t="str">
        <x:v>https://data.worldbank.org/country/mexico</x:v>
      </x:c>
      <x:c r="E15" s="7" t="str">
        <x:v>Population denominator</x:v>
      </x:c>
    </x:row>
    <x:row r="16" ht="24" hidden="0" customHeight="1">
      <x:c r="A16" s="7" t="str">
        <x:v>FDA_HUMIRA_2025</x:v>
      </x:c>
      <x:c r="B16" s="7" t="str">
        <x:v>US Food and Drug Administration. HUMIRA (adalimumab) prescribing information.</x:v>
      </x:c>
      <x:c r="C16" s="7" t="n">
        <x:v>2025</x:v>
      </x:c>
      <x:c r="D16" s="7" t="str">
        <x:v>https://www.accessdata.fda.gov/drugsatfda_docs/label/2025/125057s424lbl.pdf</x:v>
      </x:c>
      <x:c r="E16" s="7" t="str">
        <x:v>Biologic indication cross-check</x:v>
      </x:c>
    </x:row>
    <x:row r="17" ht="24" hidden="0" customHeight="1">
      <x:c r="A17" s="7" t="str">
        <x:v>FDA_COSENTYX_2025</x:v>
      </x:c>
      <x:c r="B17" s="7" t="str">
        <x:v>US Food and Drug Administration. COSENTYX (secukinumab) regulatory review/label materials.</x:v>
      </x:c>
      <x:c r="C17" s="7" t="n">
        <x:v>2025</x:v>
      </x:c>
      <x:c r="D17" s="7" t="str">
        <x:v>https://www.accessdata.fda.gov/drugsatfda_docs/nda/2025/125504Orig1s063.pdf</x:v>
      </x:c>
      <x:c r="E17" s="7" t="str">
        <x:v>Biologic indication cross-check</x:v>
      </x:c>
    </x:row>
    <x:row r="18" ht="60" hidden="0" customHeight="1">
      <x:c r="A18" s="7" t="str">
        <x:v>GARG_2017</x:v>
      </x:c>
      <x:c r="B18" s="7" t="str">
        <x:v>Garg A, Kirby JS, Lavian J, Lin G, Strunk A. Sex- and Age-Adjusted Population Analysis of Prevalence Estimates for Hidradenitis Suppurativa in the United States. JAMA Dermatol. 153(8):760-764.</x:v>
      </x:c>
      <x:c r="C18" s="7" t="n">
        <x:v>2017</x:v>
      </x:c>
      <x:c r="D18" s="7" t="str">
        <x:v>https://doi.org/10.1001/jamadermatol.2017.0201</x:v>
      </x:c>
      <x:c r="E18" s="7" t="str">
        <x:v>Relative age curve and sex sensitivity</x:v>
      </x:c>
    </x:row>
    <x:row r="19" ht="36" hidden="0" customHeight="1">
      <x:c r="A19" s="7" t="str">
        <x:v>NAIK_2019</x:v>
      </x:c>
      <x:c r="B19" s="7" t="str">
        <x:v>Naik HB, et al. Distribution of Self-reported Hidradenitis Suppurativa Age at Onset. JAMA Dermatol. 155(8):971-973.</x:v>
      </x:c>
      <x:c r="C19" s="7" t="n">
        <x:v>2019</x:v>
      </x:c>
      <x:c r="D19" s="7" t="str">
        <x:v>https://doi.org/10.1001/jamadermatol.2019.0478</x:v>
      </x:c>
      <x:c r="E19" s="7" t="str">
        <x:v>Bimodal age-at-onset distribution</x:v>
      </x:c>
    </x:row>
    <x:row r="20" ht="48" hidden="0" customHeight="1">
      <x:c r="A20" s="7" t="str">
        <x:v>KOKOLAKIS_2020</x:v>
      </x:c>
      <x:c r="B20" s="7" t="str">
        <x:v>Kokolakis G, et al. Delayed Diagnosis of Hidradenitis Suppurativa and Its Effect on Patients and Healthcare System. Dermatology. 236(5):421-430.</x:v>
      </x:c>
      <x:c r="C20" s="7" t="n">
        <x:v>2020</x:v>
      </x:c>
      <x:c r="D20" s="7" t="str">
        <x:v>https://doi.org/10.1159/000508787</x:v>
      </x:c>
      <x:c r="E20" s="7" t="str">
        <x:v>Time-to-diagnosis distribution</x:v>
      </x:c>
    </x:row>
    <x:row r="21" ht="36" hidden="0" customHeight="1">
      <x:c r="A21" s="7" t="str">
        <x:v>ANDERSEN_2026</x:v>
      </x:c>
      <x:c r="B21" s="7" t="str">
        <x:v>Andersen RK, et al. Hidradenitis Suppurativa Remission and Progression in a Community Setting. JAMA Dermatol. 162(1):60-65.</x:v>
      </x:c>
      <x:c r="C21" s="7" t="n">
        <x:v>2026</x:v>
      </x:c>
      <x:c r="D21" s="7" t="str">
        <x:v>https://doi.org/10.1001/jamadermatol.2025.4700</x:v>
      </x:c>
      <x:c r="E21" s="7" t="str">
        <x:v>Community severity prior and natural history</x:v>
      </x:c>
    </x:row>
    <x:row r="22" ht="48" hidden="0" customHeight="1">
      <x:c r="A22" s="7" t="str">
        <x:v>CALAO_2018</x:v>
      </x:c>
      <x:c r="B22" s="7" t="str">
        <x:v>Calao M, Wilson JL, Spelman L, et al. Hidradenitis Suppurativa prevalence, demographics and management pathways in Australia. PLoS One. 13(7):e0200683.</x:v>
      </x:c>
      <x:c r="C22" s="7" t="n">
        <x:v>2018</x:v>
      </x:c>
      <x:c r="D22" s="7" t="str">
        <x:v>https://doi.org/10.1371/journal.pone.0200683</x:v>
      </x:c>
      <x:c r="E22" s="7" t="str">
        <x:v>Severity ranges and sensitivity</x:v>
      </x:c>
    </x:row>
    <x:row r="23" ht="48" hidden="0" customHeight="1">
      <x:c r="A23" s="7" t="str">
        <x:v>ZOUBOULIS_IHS4_2024</x:v>
      </x:c>
      <x:c r="B23" s="7" t="str">
        <x:v>Zouboulis CC, et al. European S2k guideline for hidradenitis suppurativa/acne inversa part 1: Diagnosis and assessment of severity. J Eur Acad Dermatol Venereol.</x:v>
      </x:c>
      <x:c r="C23" s="7" t="n">
        <x:v>2024</x:v>
      </x:c>
      <x:c r="D23" s="7" t="str">
        <x:v>https://doi.org/10.1111/jdv.19833</x:v>
      </x:c>
      <x:c r="E23" s="7" t="str">
        <x:v>IHS4 severity definition</x:v>
      </x:c>
    </x:row>
    <x:row r="24" ht="36" hidden="0" customHeight="1">
      <x:c r="A24" s="7" t="str">
        <x:v>WORLD_BANK_2024</x:v>
      </x:c>
      <x:c r="B24" s="7" t="str">
        <x:v>World Bank. Population by five-year age group and sex, 2024. World Development Indicators API; underlying source UN World Population Prospects.</x:v>
      </x:c>
      <x:c r="C24" s="7" t="n">
        <x:v>2024</x:v>
      </x:c>
      <x:c r="D24" s="7" t="str">
        <x:v>https://api.worldbank.org/v2/</x:v>
      </x:c>
      <x:c r="E24" s="7" t="str">
        <x:v>Age-sex weights for 23 GHiSA countries and Mexico</x:v>
      </x:c>
    </x:row>
    <x:row r="25" ht="24" hidden="0" customHeight="1">
      <x:c r="A25" s="7" t="str">
        <x:v>PAHO_MEXICO_2024</x:v>
      </x:c>
      <x:c r="B25" s="7" t="str">
        <x:v>Pan American Health Organization. Mexico country profile, Health in the Americas.</x:v>
      </x:c>
      <x:c r="C25" s="7" t="n">
        <x:v>2024</x:v>
      </x:c>
      <x:c r="D25" s="7" t="str">
        <x:v>https://hia.paho.org/es/perfiles-de-pais/mexico</x:v>
      </x:c>
      <x:c r="E25" s="7" t="str">
        <x:v>Mexico 2024 population total cross-check</x:v>
      </x:c>
    </x:row>
  </x:sheetData>
  <x:pageMargins left="0.7" right="0.7" top="0.75" bottom="0.75" header="0.3" footer="0.3"/>
</x:worksheet>
</file>